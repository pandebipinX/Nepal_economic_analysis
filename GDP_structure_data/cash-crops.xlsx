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h crops 2012-2024" sheetId="1" state="visible" r:id="rId3"/>
  </sheets>
  <definedNames>
    <definedName function="false" hidden="false" localSheetId="0" name="_xlnm.Print_Area" vbProcedure="false">'Cash crops 2012-2024'!$A$1:$L$22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<sst xmlns="http://schemas.openxmlformats.org/spreadsheetml/2006/main" count="52" uniqueCount="34">
  <si>
    <t xml:space="preserve"> Area, Production and Productivity of Major Cash Crops</t>
  </si>
  <si>
    <t xml:space="preserve">Area: In thousand hectares</t>
  </si>
  <si>
    <t xml:space="preserve">Production: In thousand metric tons</t>
  </si>
  <si>
    <t xml:space="preserve">Productivity: Metric tonne per hectare</t>
  </si>
  <si>
    <t xml:space="preserve">Cash Crops</t>
  </si>
  <si>
    <t xml:space="preserve">Fiscal Year</t>
  </si>
  <si>
    <t xml:space="preserve">2011/12</t>
  </si>
  <si>
    <t xml:space="preserve">2012/13</t>
  </si>
  <si>
    <t xml:space="preserve">2013/14</t>
  </si>
  <si>
    <t xml:space="preserve">2014/15</t>
  </si>
  <si>
    <t xml:space="preserve">2015/16</t>
  </si>
  <si>
    <t xml:space="preserve">2016/17</t>
  </si>
  <si>
    <t xml:space="preserve">2017/18</t>
  </si>
  <si>
    <t xml:space="preserve">2018/19</t>
  </si>
  <si>
    <t xml:space="preserve">2019/20</t>
  </si>
  <si>
    <t xml:space="preserve">2020/21</t>
  </si>
  <si>
    <t xml:space="preserve">2021/22</t>
  </si>
  <si>
    <t xml:space="preserve">2022/23</t>
  </si>
  <si>
    <t xml:space="preserve">2023/24</t>
  </si>
  <si>
    <t xml:space="preserve">Oilseeds</t>
  </si>
  <si>
    <t xml:space="preserve">Area</t>
  </si>
  <si>
    <t xml:space="preserve">Production</t>
  </si>
  <si>
    <t xml:space="preserve">Productivity</t>
  </si>
  <si>
    <t xml:space="preserve">Potato</t>
  </si>
  <si>
    <t xml:space="preserve">अनुसूची ८.३: प्रमुख औद्योगिक बाली लगाएको क्षेत्रफल, उत्पादन र उत्पादकत्व</t>
  </si>
  <si>
    <t xml:space="preserve">Total Area</t>
  </si>
  <si>
    <t xml:space="preserve">Total Production</t>
  </si>
  <si>
    <t xml:space="preserve">Honey*</t>
  </si>
  <si>
    <t xml:space="preserve">Bee Hives (Number)</t>
  </si>
  <si>
    <t xml:space="preserve">-</t>
  </si>
  <si>
    <t xml:space="preserve">Source: Ministry of Agriculture and Livestock Development, 2024</t>
  </si>
  <si>
    <t xml:space="preserve">*Honey is included since fiscal year 2010/11</t>
  </si>
  <si>
    <t xml:space="preserve">**Preliminary Estimate</t>
  </si>
  <si>
    <t xml:space="preserve">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</si>
</sst>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(* #,##0.00_);_(* \(#,##0.00\);_(* \-??_);_(@_)"/>
    <numFmt numFmtId="166" formatCode="@"/>
    <numFmt numFmtId="167" formatCode="0.00"/>
    <numFmt numFmtId="168" formatCode="[$-4000439]0.00"/>
    <numFmt numFmtId="169" formatCode="[$-4000439]0.0"/>
  </numFmts>
  <fonts count="1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Dev - Exl"/>
      <family val="0"/>
      <charset val="1"/>
    </font>
    <font>
      <sz val="11"/>
      <color theme="1"/>
      <name val="Calibri"/>
      <family val="2"/>
      <charset val="1"/>
    </font>
    <font>
      <sz val="11"/>
      <color theme="1"/>
      <name val="Times New Roman"/>
      <family val="1"/>
      <charset val="1"/>
    </font>
    <font>
      <b val="true"/>
      <sz val="14"/>
      <color theme="1"/>
      <name val="Times New Roman"/>
      <family val="1"/>
      <charset val="1"/>
    </font>
    <font>
      <sz val="9"/>
      <color theme="1"/>
      <name val="Times New Roman"/>
      <family val="1"/>
      <charset val="1"/>
    </font>
    <font>
      <b val="true"/>
      <sz val="10"/>
      <color theme="1"/>
      <name val="Times New Roman"/>
      <family val="1"/>
      <charset val="1"/>
    </font>
    <font>
      <b val="true"/>
      <sz val="11"/>
      <color theme="1"/>
      <name val="Times New Roman"/>
      <family val="1"/>
      <charset val="1"/>
    </font>
    <font>
      <sz val="10"/>
      <color theme="1"/>
      <name val="Times New Roman"/>
      <family val="1"/>
      <charset val="1"/>
    </font>
    <font>
      <sz val="8"/>
      <name val="Times New Roman"/>
      <family val="1"/>
      <charset val="1"/>
    </font>
    <font>
      <b val="true"/>
      <sz val="9"/>
      <color theme="1"/>
      <name val="Times New Roman"/>
      <family val="1"/>
      <charset val="1"/>
    </font>
    <font>
      <b val="true"/>
      <i val="true"/>
      <sz val="9"/>
      <color theme="1"/>
      <name val="Times New Roman"/>
      <family val="1"/>
      <charset val="1"/>
    </font>
    <font>
      <b val="true"/>
      <i val="true"/>
      <sz val="8"/>
      <color theme="1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21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21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2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9" fillId="2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1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" fillId="2" borderId="1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" fillId="0" borderId="1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2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1" fillId="0" borderId="1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2" borderId="2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3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2" borderId="4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9" fillId="2" borderId="1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1" xfId="21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12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6" fillId="2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0" xfId="21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13" fillId="2" borderId="0" xfId="21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9" fontId="9" fillId="2" borderId="0" xfId="21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4" fillId="2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8" fillId="2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1" fillId="2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2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4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9.60546875" defaultRowHeight="15" customHeight="false" zeroHeight="false" outlineLevelRow="0" outlineLevelCol="0"/>
  <cols>
    <col collapsed="false" customWidth="true" hidden="false" outlineLevel="0" max="1" min="1" style="1" width="77.35"/>
    <col collapsed="false" customWidth="true" hidden="false" outlineLevel="0" max="2" min="2" style="1" width="10.41"/>
    <col collapsed="false" customWidth="true" hidden="false" outlineLevel="0" max="6" min="3" style="1" width="11.65"/>
    <col collapsed="false" customWidth="true" hidden="false" outlineLevel="0" max="7" min="7" style="2" width="11.65"/>
    <col collapsed="false" customWidth="true" hidden="false" outlineLevel="0" max="8" min="8" style="1" width="11.51"/>
    <col collapsed="false" customWidth="true" hidden="false" outlineLevel="0" max="10" min="9" style="1" width="11.65"/>
    <col collapsed="false" customWidth="true" hidden="false" outlineLevel="0" max="11" min="11" style="1" width="13.03"/>
    <col collapsed="false" customWidth="true" hidden="false" outlineLevel="0" max="12" min="12" style="1" width="13.58"/>
    <col collapsed="false" customWidth="true" hidden="false" outlineLevel="0" max="13" min="13" style="1" width="12.88"/>
    <col collapsed="false" customWidth="false" hidden="false" outlineLevel="0" max="15" min="14" style="1" width="9.6"/>
  </cols>
  <sheetData>
    <row r="1" customFormat="false" ht="17.35" hidden="false" customHeight="false" outlineLevel="0" collapsed="false">
      <c r="A1" s="3" t="s">
        <v>0</v>
      </c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</row>
    <row r="2" customFormat="false" ht="15" hidden="false" customHeight="false" outlineLevel="0" collapsed="false">
      <c r="G2" s="4"/>
      <c r="J2" s="5" t="s">
        <v>1</v>
      </c>
      <c r="K2" s="5"/>
      <c r="L2" s="5"/>
    </row>
    <row r="3" customFormat="false" ht="15" hidden="false" customHeight="false" outlineLevel="0" collapsed="false">
      <c r="G3" s="4"/>
      <c r="J3" s="5" t="s">
        <v>2</v>
      </c>
      <c r="K3" s="5"/>
      <c r="L3" s="5"/>
    </row>
    <row r="4" customFormat="false" ht="15" hidden="false" customHeight="false" outlineLevel="0" collapsed="false">
      <c r="G4" s="4"/>
      <c r="J4" s="6" t="s">
        <v>3</v>
      </c>
      <c r="K4" s="6"/>
      <c r="L4" s="6"/>
    </row>
    <row r="5" customFormat="false" ht="19.5" hidden="false" customHeight="true" outlineLevel="0" collapsed="false">
      <c r="A5" s="7" t="s">
        <v>4</v>
      </c>
      <c r="B5" s="7"/>
      <c r="C5" s="8" t="s">
        <v>5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customFormat="false" ht="15" hidden="false" customHeight="false" outlineLevel="0" collapsed="false">
      <c r="A6" s="7"/>
      <c r="B6" s="7"/>
      <c r="C6" s="9" t="s">
        <v>6</v>
      </c>
      <c r="D6" s="9" t="s">
        <v>7</v>
      </c>
      <c r="E6" s="9" t="s">
        <v>8</v>
      </c>
      <c r="F6" s="9" t="s">
        <v>9</v>
      </c>
      <c r="G6" s="9" t="s">
        <v>10</v>
      </c>
      <c r="H6" s="9" t="s">
        <v>11</v>
      </c>
      <c r="I6" s="9" t="s">
        <v>12</v>
      </c>
      <c r="J6" s="9" t="s">
        <v>13</v>
      </c>
      <c r="K6" s="9" t="s">
        <v>14</v>
      </c>
      <c r="L6" s="9" t="s">
        <v>15</v>
      </c>
      <c r="M6" s="9" t="s">
        <v>16</v>
      </c>
      <c r="N6" s="10" t="s">
        <v>17</v>
      </c>
      <c r="O6" s="10" t="s">
        <v>18</v>
      </c>
    </row>
    <row r="7" customFormat="false" ht="15" hidden="false" customHeight="false" outlineLevel="0" collapsed="false">
      <c r="A7" s="11" t="s">
        <v>19</v>
      </c>
      <c r="B7" s="11" t="s">
        <v>20</v>
      </c>
      <c r="C7" s="12" t="n">
        <v>218</v>
      </c>
      <c r="D7" s="12" t="n">
        <v>215</v>
      </c>
      <c r="E7" s="12" t="n">
        <v>216.4</v>
      </c>
      <c r="F7" s="12" t="n">
        <v>233.0543</v>
      </c>
      <c r="G7" s="12" t="n">
        <v>234.11383</v>
      </c>
      <c r="H7" s="12" t="n">
        <v>234.55987</v>
      </c>
      <c r="I7" s="12" t="n">
        <v>224.59</v>
      </c>
      <c r="J7" s="12" t="n">
        <v>262.133424171486</v>
      </c>
      <c r="K7" s="13" t="n">
        <v>258.141</v>
      </c>
      <c r="L7" s="13" t="n">
        <v>259.101</v>
      </c>
      <c r="M7" s="13" t="n">
        <v>260.65</v>
      </c>
      <c r="N7" s="14" t="n">
        <v>244.05</v>
      </c>
      <c r="O7" s="15" t="n">
        <v>239.03</v>
      </c>
    </row>
    <row r="8" customFormat="false" ht="15" hidden="false" customHeight="false" outlineLevel="0" collapsed="false">
      <c r="A8" s="11"/>
      <c r="B8" s="11" t="s">
        <v>21</v>
      </c>
      <c r="C8" s="12" t="n">
        <v>181</v>
      </c>
      <c r="D8" s="12" t="n">
        <v>179</v>
      </c>
      <c r="E8" s="12" t="n">
        <v>184</v>
      </c>
      <c r="F8" s="12" t="n">
        <v>209.63276</v>
      </c>
      <c r="G8" s="12" t="n">
        <v>211.13625</v>
      </c>
      <c r="H8" s="12" t="n">
        <v>211.73231</v>
      </c>
      <c r="I8" s="12" t="n">
        <v>245.86</v>
      </c>
      <c r="J8" s="12" t="n">
        <v>282.231674466267</v>
      </c>
      <c r="K8" s="16" t="n">
        <v>278.325</v>
      </c>
      <c r="L8" s="13" t="n">
        <v>287.037921311496</v>
      </c>
      <c r="M8" s="13" t="n">
        <v>287.34</v>
      </c>
      <c r="N8" s="14" t="n">
        <v>270.48</v>
      </c>
      <c r="O8" s="15" t="n">
        <v>262.56</v>
      </c>
    </row>
    <row r="9" customFormat="false" ht="15" hidden="false" customHeight="false" outlineLevel="0" collapsed="false">
      <c r="A9" s="11"/>
      <c r="B9" s="11" t="s">
        <v>22</v>
      </c>
      <c r="C9" s="12" t="n">
        <f aca="false">C8/C7</f>
        <v>0.830275229357798</v>
      </c>
      <c r="D9" s="12" t="n">
        <f aca="false">D8/D7</f>
        <v>0.832558139534884</v>
      </c>
      <c r="E9" s="12" t="n">
        <f aca="false">E8/E7</f>
        <v>0.850277264325324</v>
      </c>
      <c r="F9" s="12" t="n">
        <f aca="false">F8/F7</f>
        <v>0.89950178992621</v>
      </c>
      <c r="G9" s="12" t="n">
        <f aca="false">G8/G7</f>
        <v>0.901852957597593</v>
      </c>
      <c r="H9" s="12" t="n">
        <f aca="false">H8/H7</f>
        <v>0.902679175257046</v>
      </c>
      <c r="I9" s="12" t="n">
        <f aca="false">I8/I7</f>
        <v>1.09470590854446</v>
      </c>
      <c r="J9" s="12" t="n">
        <f aca="false">J8/J7</f>
        <v>1.07667183365992</v>
      </c>
      <c r="K9" s="16" t="n">
        <v>1.15036798361595</v>
      </c>
      <c r="L9" s="13" t="n">
        <v>1.10782251443065</v>
      </c>
      <c r="M9" s="13" t="n">
        <v>1.1</v>
      </c>
      <c r="N9" s="17" t="n">
        <v>1.11</v>
      </c>
      <c r="O9" s="15" t="n">
        <v>1.1</v>
      </c>
    </row>
    <row r="10" customFormat="false" ht="15" hidden="false" customHeight="false" outlineLevel="0" collapsed="false">
      <c r="A10" s="18" t="s">
        <v>23</v>
      </c>
      <c r="B10" s="11" t="s">
        <v>20</v>
      </c>
      <c r="C10" s="12" t="n">
        <v>187</v>
      </c>
      <c r="D10" s="12" t="n">
        <v>188</v>
      </c>
      <c r="E10" s="12" t="n">
        <v>205.72</v>
      </c>
      <c r="F10" s="12" t="n">
        <v>197.037</v>
      </c>
      <c r="G10" s="12" t="n">
        <v>190.896</v>
      </c>
      <c r="H10" s="12" t="n">
        <v>202.3</v>
      </c>
      <c r="I10" s="12" t="n">
        <v>195.26</v>
      </c>
      <c r="J10" s="12" t="n">
        <v>193.99694845001</v>
      </c>
      <c r="K10" s="12" t="n">
        <v>188.097900874636</v>
      </c>
      <c r="L10" s="13" t="n">
        <v>198.787735</v>
      </c>
      <c r="M10" s="13" t="n">
        <v>198.25</v>
      </c>
      <c r="N10" s="14" t="n">
        <v>203.81</v>
      </c>
      <c r="O10" s="15" t="n">
        <v>211.5</v>
      </c>
    </row>
    <row r="11" customFormat="false" ht="15" hidden="false" customHeight="false" outlineLevel="0" collapsed="false">
      <c r="A11" s="19"/>
      <c r="B11" s="11" t="s">
        <v>21</v>
      </c>
      <c r="C11" s="12" t="n">
        <v>2682</v>
      </c>
      <c r="D11" s="12" t="n">
        <v>2753</v>
      </c>
      <c r="E11" s="12" t="n">
        <v>2817.51</v>
      </c>
      <c r="F11" s="12" t="n">
        <v>2586.287</v>
      </c>
      <c r="G11" s="12" t="n">
        <v>2551.739</v>
      </c>
      <c r="H11" s="12" t="n">
        <v>2755.879</v>
      </c>
      <c r="I11" s="12" t="n">
        <v>2881.29</v>
      </c>
      <c r="J11" s="12" t="n">
        <v>3112.94687130059</v>
      </c>
      <c r="K11" s="16" t="n">
        <v>3131.83004956269</v>
      </c>
      <c r="L11" s="13" t="n">
        <v>3325.23088262</v>
      </c>
      <c r="M11" s="13" t="n">
        <v>3410.83</v>
      </c>
      <c r="N11" s="20" t="n">
        <v>3472.2</v>
      </c>
      <c r="O11" s="15" t="n">
        <v>3521.79</v>
      </c>
    </row>
    <row r="12" customFormat="false" ht="15" hidden="false" customHeight="false" outlineLevel="0" collapsed="false">
      <c r="A12" s="21"/>
      <c r="B12" s="11" t="s">
        <v>22</v>
      </c>
      <c r="C12" s="12" t="n">
        <f aca="false">C11/C10</f>
        <v>14.3422459893048</v>
      </c>
      <c r="D12" s="12" t="n">
        <f aca="false">D11/D10</f>
        <v>14.6436170212766</v>
      </c>
      <c r="E12" s="12" t="n">
        <f aca="false">E11/E10</f>
        <v>13.6958487264243</v>
      </c>
      <c r="F12" s="12" t="n">
        <f aca="false">F11/F10</f>
        <v>13.1258951364465</v>
      </c>
      <c r="G12" s="12" t="n">
        <f aca="false">G11/G10</f>
        <v>13.3671685106026</v>
      </c>
      <c r="H12" s="12" t="n">
        <f aca="false">H11/H10</f>
        <v>13.6227335640138</v>
      </c>
      <c r="I12" s="12" t="n">
        <f aca="false">I11/I10</f>
        <v>14.7561712588344</v>
      </c>
      <c r="J12" s="12" t="n">
        <f aca="false">J11/J10</f>
        <v>16.046370296916</v>
      </c>
      <c r="K12" s="16" t="n">
        <v>16.65</v>
      </c>
      <c r="L12" s="13" t="n">
        <v>16.727545502845</v>
      </c>
      <c r="M12" s="13" t="n">
        <v>17.2</v>
      </c>
      <c r="N12" s="17" t="n">
        <v>17.04</v>
      </c>
      <c r="O12" s="15" t="n">
        <v>16.65</v>
      </c>
    </row>
    <row r="13" customFormat="false" ht="17.25" hidden="true" customHeight="true" outlineLevel="0" collapsed="false">
      <c r="A13" s="22" t="s">
        <v>24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3" t="n">
        <v>452.01</v>
      </c>
      <c r="O13" s="15"/>
    </row>
    <row r="14" customFormat="false" ht="15" hidden="false" customHeight="false" outlineLevel="0" collapsed="false">
      <c r="A14" s="7" t="s">
        <v>25</v>
      </c>
      <c r="B14" s="7"/>
      <c r="C14" s="24" t="n">
        <f aca="false">C7+C10</f>
        <v>405</v>
      </c>
      <c r="D14" s="24" t="n">
        <f aca="false">D7+D10</f>
        <v>403</v>
      </c>
      <c r="E14" s="24" t="n">
        <f aca="false">E7+E10</f>
        <v>422.12</v>
      </c>
      <c r="F14" s="24" t="n">
        <f aca="false">F7+F10</f>
        <v>430.0913</v>
      </c>
      <c r="G14" s="24" t="n">
        <f aca="false">G7+G10</f>
        <v>425.00983</v>
      </c>
      <c r="H14" s="24" t="n">
        <f aca="false">H7+H10</f>
        <v>436.85987</v>
      </c>
      <c r="I14" s="24" t="n">
        <f aca="false">I7+I10</f>
        <v>419.85</v>
      </c>
      <c r="J14" s="24" t="n">
        <f aca="false">J7+J10</f>
        <v>456.130372621496</v>
      </c>
      <c r="K14" s="24" t="n">
        <f aca="false">K7+K10</f>
        <v>446.238900874636</v>
      </c>
      <c r="L14" s="24" t="n">
        <v>457.888735</v>
      </c>
      <c r="M14" s="24" t="n">
        <v>458.9</v>
      </c>
      <c r="N14" s="17" t="n">
        <v>447.86</v>
      </c>
      <c r="O14" s="15" t="n">
        <v>450.54</v>
      </c>
    </row>
    <row r="15" customFormat="false" ht="15" hidden="false" customHeight="false" outlineLevel="0" collapsed="false">
      <c r="A15" s="7" t="s">
        <v>26</v>
      </c>
      <c r="B15" s="7"/>
      <c r="C15" s="24" t="n">
        <f aca="false">C8+C11</f>
        <v>2863</v>
      </c>
      <c r="D15" s="24" t="n">
        <f aca="false">D8+D11</f>
        <v>2932</v>
      </c>
      <c r="E15" s="24" t="n">
        <f aca="false">E8+E11</f>
        <v>3001.51</v>
      </c>
      <c r="F15" s="24" t="n">
        <f aca="false">F8+F11</f>
        <v>2795.91976</v>
      </c>
      <c r="G15" s="24" t="n">
        <f aca="false">G8+G11</f>
        <v>2762.87525</v>
      </c>
      <c r="H15" s="24" t="n">
        <f aca="false">H8+H11</f>
        <v>2967.61131</v>
      </c>
      <c r="I15" s="24" t="n">
        <f aca="false">I8+I11</f>
        <v>3127.15</v>
      </c>
      <c r="J15" s="24" t="n">
        <f aca="false">J8+J11</f>
        <v>3395.17854576686</v>
      </c>
      <c r="K15" s="24" t="n">
        <f aca="false">K8+K11</f>
        <v>3410.15504956269</v>
      </c>
      <c r="L15" s="24" t="n">
        <v>3612.2688039315</v>
      </c>
      <c r="M15" s="24" t="n">
        <v>3698.17</v>
      </c>
      <c r="N15" s="17" t="n">
        <v>3742.68</v>
      </c>
      <c r="O15" s="15" t="n">
        <v>3784.36</v>
      </c>
    </row>
    <row r="16" customFormat="false" ht="15" hidden="false" customHeight="false" outlineLevel="0" collapsed="false">
      <c r="A16" s="7" t="s">
        <v>22</v>
      </c>
      <c r="B16" s="7"/>
      <c r="C16" s="24" t="n">
        <f aca="false">C15/C14</f>
        <v>7.06913580246914</v>
      </c>
      <c r="D16" s="24" t="n">
        <f aca="false">D15/D14</f>
        <v>7.27543424317618</v>
      </c>
      <c r="E16" s="24" t="n">
        <f aca="false">E15/E14</f>
        <v>7.11056097792097</v>
      </c>
      <c r="F16" s="24" t="n">
        <f aca="false">F15/F14</f>
        <v>6.50075869937383</v>
      </c>
      <c r="G16" s="24" t="n">
        <f aca="false">G15/G14</f>
        <v>6.50073258305579</v>
      </c>
      <c r="H16" s="24" t="n">
        <f aca="false">H15/H14</f>
        <v>6.7930508471744</v>
      </c>
      <c r="I16" s="24" t="n">
        <f aca="false">I15/I14</f>
        <v>7.44825532928427</v>
      </c>
      <c r="J16" s="24" t="n">
        <f aca="false">J15/J14</f>
        <v>7.44343887089542</v>
      </c>
      <c r="K16" s="24" t="n">
        <f aca="false">K15/K14</f>
        <v>7.64199410423145</v>
      </c>
      <c r="L16" s="24" t="n">
        <v>7.88896630953696</v>
      </c>
      <c r="M16" s="24" t="n">
        <v>8.06</v>
      </c>
      <c r="N16" s="17" t="n">
        <v>8.36</v>
      </c>
      <c r="O16" s="15" t="n">
        <v>8.4</v>
      </c>
    </row>
    <row r="17" customFormat="false" ht="23.85" hidden="false" customHeight="false" outlineLevel="0" collapsed="false">
      <c r="A17" s="11" t="s">
        <v>27</v>
      </c>
      <c r="B17" s="25" t="s">
        <v>28</v>
      </c>
      <c r="C17" s="12" t="s">
        <v>29</v>
      </c>
      <c r="D17" s="12" t="s">
        <v>29</v>
      </c>
      <c r="E17" s="12" t="s">
        <v>29</v>
      </c>
      <c r="F17" s="12" t="s">
        <v>29</v>
      </c>
      <c r="G17" s="12" t="n">
        <v>225</v>
      </c>
      <c r="H17" s="12" t="n">
        <v>232</v>
      </c>
      <c r="I17" s="12" t="n">
        <v>240</v>
      </c>
      <c r="J17" s="12" t="n">
        <v>242</v>
      </c>
      <c r="K17" s="12" t="n">
        <v>242.555</v>
      </c>
      <c r="L17" s="12" t="n">
        <v>244.68</v>
      </c>
      <c r="M17" s="12" t="n">
        <v>249</v>
      </c>
      <c r="N17" s="17" t="n">
        <v>245.01</v>
      </c>
      <c r="O17" s="15" t="n">
        <v>250.5</v>
      </c>
    </row>
    <row r="18" customFormat="false" ht="15" hidden="false" customHeight="false" outlineLevel="0" collapsed="false">
      <c r="A18" s="11"/>
      <c r="B18" s="11" t="s">
        <v>21</v>
      </c>
      <c r="C18" s="12" t="s">
        <v>29</v>
      </c>
      <c r="D18" s="12" t="s">
        <v>29</v>
      </c>
      <c r="E18" s="12" t="s">
        <v>29</v>
      </c>
      <c r="F18" s="12" t="s">
        <v>29</v>
      </c>
      <c r="G18" s="12" t="n">
        <v>3</v>
      </c>
      <c r="H18" s="12" t="n">
        <v>3.5</v>
      </c>
      <c r="I18" s="12" t="n">
        <v>3.95</v>
      </c>
      <c r="J18" s="12" t="n">
        <v>3.98</v>
      </c>
      <c r="K18" s="12" t="n">
        <v>3.795</v>
      </c>
      <c r="L18" s="12" t="n">
        <v>4.061688</v>
      </c>
      <c r="M18" s="12" t="n">
        <v>4.1</v>
      </c>
      <c r="N18" s="17" t="n">
        <v>4.3</v>
      </c>
      <c r="O18" s="15" t="n">
        <v>4.37</v>
      </c>
    </row>
    <row r="19" customFormat="false" ht="15" hidden="false" customHeight="false" outlineLevel="0" collapsed="false">
      <c r="A19" s="11"/>
      <c r="B19" s="11" t="s">
        <v>22</v>
      </c>
      <c r="C19" s="12" t="s">
        <v>29</v>
      </c>
      <c r="D19" s="12" t="s">
        <v>29</v>
      </c>
      <c r="E19" s="12" t="s">
        <v>29</v>
      </c>
      <c r="F19" s="12" t="s">
        <v>29</v>
      </c>
      <c r="G19" s="12" t="n">
        <f aca="false">G18/G17</f>
        <v>0.0133333333333333</v>
      </c>
      <c r="H19" s="12" t="n">
        <f aca="false">H18/H17</f>
        <v>0.0150862068965517</v>
      </c>
      <c r="I19" s="12" t="n">
        <f aca="false">I18/I17</f>
        <v>0.0164583333333333</v>
      </c>
      <c r="J19" s="12" t="n">
        <f aca="false">J18/J17</f>
        <v>0.0164462809917355</v>
      </c>
      <c r="K19" s="12" t="n">
        <v>0.0164704912287935</v>
      </c>
      <c r="L19" s="12" t="n">
        <v>0.0166</v>
      </c>
      <c r="M19" s="12" t="n">
        <v>0.016</v>
      </c>
      <c r="N19" s="26" t="n">
        <v>0.018</v>
      </c>
      <c r="O19" s="27" t="n">
        <v>0.017</v>
      </c>
    </row>
    <row r="20" customFormat="false" ht="15" hidden="false" customHeight="false" outlineLevel="0" collapsed="false">
      <c r="A20" s="4" t="s">
        <v>30</v>
      </c>
      <c r="B20" s="28"/>
      <c r="C20" s="29"/>
      <c r="D20" s="30"/>
      <c r="E20" s="30"/>
      <c r="F20" s="30"/>
      <c r="G20" s="30"/>
      <c r="H20" s="30"/>
      <c r="I20" s="30"/>
      <c r="J20" s="30"/>
      <c r="K20" s="30"/>
    </row>
    <row r="21" customFormat="false" ht="15" hidden="false" customHeight="false" outlineLevel="0" collapsed="false">
      <c r="A21" s="5" t="s">
        <v>31</v>
      </c>
      <c r="B21" s="28"/>
      <c r="C21" s="29"/>
      <c r="D21" s="30"/>
      <c r="E21" s="30"/>
      <c r="F21" s="30"/>
      <c r="G21" s="30"/>
      <c r="H21" s="30"/>
      <c r="I21" s="30"/>
      <c r="J21" s="30"/>
      <c r="K21" s="30"/>
    </row>
    <row r="22" customFormat="false" ht="15" hidden="false" customHeight="false" outlineLevel="0" collapsed="false">
      <c r="A22" s="5" t="s">
        <v>32</v>
      </c>
      <c r="B22" s="31"/>
      <c r="C22" s="32"/>
      <c r="D22" s="33"/>
      <c r="E22" s="33"/>
      <c r="F22" s="33"/>
      <c r="G22" s="33"/>
    </row>
    <row r="23" customFormat="false" ht="15" hidden="false" customHeight="false" outlineLevel="0" collapsed="false">
      <c r="B23" s="34"/>
      <c r="C23" s="33"/>
      <c r="D23" s="33"/>
      <c r="E23" s="33"/>
      <c r="F23" s="33"/>
      <c r="G23" s="33"/>
    </row>
    <row r="24" customFormat="false" ht="15" hidden="false" customHeight="false" outlineLevel="0" collapsed="false">
      <c r="D24" s="1" t="s">
        <v>33</v>
      </c>
    </row>
  </sheetData>
  <mergeCells count="1">
    <mergeCell ref="C5:O5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2026-04-04T14:05:07Z</dcterms:created>
  <dc:creator/>
  <dc:description/>
  <dc:language>en-US</dc:language>
  <cp:lastModifiedBy/>
  <dcterms:modified xsi:type="dcterms:W3CDTF">2026-04-04T16:12:43Z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