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vestock produciton " sheetId="1" state="visible" r:id="rId3"/>
  </sheets>
  <definedNames>
    <definedName function="false" hidden="false" localSheetId="0" name="_xlnm.Print_Area" vbProcedure="false">'Livestock produciton '!$A$1:$H$33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<sst xmlns="http://schemas.openxmlformats.org/spreadsheetml/2006/main" count="29" uniqueCount="28">
  <si>
    <t xml:space="preserve"> Status of Livestock Production</t>
  </si>
  <si>
    <t xml:space="preserve">Production Types/Growth rate</t>
  </si>
  <si>
    <t xml:space="preserve">Fiscal Year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</si>
  <si>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</si>
  <si>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</si>
  <si>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</si>
  <si>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</si>
  <si>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</si>
  <si>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</si>
  <si>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</si>
  <si>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</si>
  <si>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</si>
  <si>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</si>
  <si>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Milk Production (Metric Tons)</t>
  </si>
  <si>
    <t xml:space="preserve">Cow</t>
  </si>
  <si>
    <t xml:space="preserve">Buffalo</t>
  </si>
  <si>
    <t xml:space="preserve">Net Meat Production(Metric Tons)</t>
  </si>
  <si>
    <t xml:space="preserve">Sheep</t>
  </si>
  <si>
    <t xml:space="preserve">Goats</t>
  </si>
  <si>
    <t xml:space="preserve">Pigs</t>
  </si>
  <si>
    <t xml:space="preserve">Chicken</t>
  </si>
  <si>
    <t xml:space="preserve">Ducks</t>
  </si>
  <si>
    <t xml:space="preserve">Eggs( In thousand)</t>
  </si>
  <si>
    <t xml:space="preserve">Hen</t>
  </si>
  <si>
    <t xml:space="preserve">Duck</t>
  </si>
  <si>
    <t xml:space="preserve">Wool (kg)</t>
  </si>
  <si>
    <t xml:space="preserve">Source: Ministry of Agriculture and Livestock Development, 2024</t>
  </si>
  <si>
    <t xml:space="preserve">Note: The second row indicates the growth of livestock production as compared to previous year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</si>
</sst>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 val="true"/>
      <sz val="14"/>
      <color theme="1"/>
      <name val="Times New Roman"/>
      <family val="1"/>
    </font>
    <font>
      <b val="true"/>
      <sz val="9"/>
      <color theme="1"/>
      <name val="Times New Roman"/>
      <family val="1"/>
    </font>
    <font>
      <b val="true"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Kalimati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10" fillId="2" borderId="2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2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0546875" defaultRowHeight="15" customHeight="false" zeroHeight="false" outlineLevelRow="0" outlineLevelCol="0"/>
  <cols>
    <col collapsed="false" customWidth="true" hidden="false" outlineLevel="0" max="1" min="1" style="1" width="16.99"/>
    <col collapsed="false" customWidth="true" hidden="false" outlineLevel="0" max="2" min="2" style="1" width="12.05"/>
    <col collapsed="false" customWidth="true" hidden="false" outlineLevel="0" max="3" min="3" style="1" width="12.48"/>
    <col collapsed="false" customWidth="true" hidden="false" outlineLevel="0" max="4" min="4" style="1" width="12.2"/>
    <col collapsed="false" customWidth="true" hidden="false" outlineLevel="0" max="5" min="5" style="1" width="11.8"/>
    <col collapsed="false" customWidth="true" hidden="false" outlineLevel="0" max="6" min="6" style="1" width="12.05"/>
    <col collapsed="false" customWidth="true" hidden="false" outlineLevel="0" max="7" min="7" style="1" width="15.51"/>
    <col collapsed="false" customWidth="true" hidden="false" outlineLevel="0" max="8" min="8" style="1" width="17.8"/>
    <col collapsed="false" customWidth="false" hidden="false" outlineLevel="0" max="12" min="9" style="1" width="9.6"/>
  </cols>
  <sheetData>
    <row r="1" customFormat="false" ht="35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4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</row>
    <row r="3" customFormat="false" ht="13.8" hidden="false" customHeight="false" outlineLevel="0" collapsed="false">
      <c r="A3" s="3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5" t="s">
        <v>9</v>
      </c>
      <c r="I3" s="5" t="s">
        <v>10</v>
      </c>
      <c r="J3" s="6" t="s">
        <v>11</v>
      </c>
      <c r="K3" s="6" t="s">
        <v>12</v>
      </c>
    </row>
    <row r="4" customFormat="false" ht="27.75" hidden="false" customHeight="true" outlineLevel="0" collapsed="false">
      <c r="A4" s="7" t="s">
        <v>13</v>
      </c>
      <c r="B4" s="8" t="n">
        <v>1724823</v>
      </c>
      <c r="C4" s="8" t="n">
        <v>1853885</v>
      </c>
      <c r="D4" s="8" t="n">
        <v>1911239</v>
      </c>
      <c r="E4" s="8" t="n">
        <v>2085000</v>
      </c>
      <c r="F4" s="8" t="n">
        <v>2168434.25121286</v>
      </c>
      <c r="G4" s="8" t="n">
        <v>2301000</v>
      </c>
      <c r="H4" s="8" t="n">
        <v>2479899.2526345</v>
      </c>
      <c r="I4" s="8" t="n">
        <v>2566614</v>
      </c>
      <c r="J4" s="9" t="n">
        <v>2613843</v>
      </c>
      <c r="K4" s="10" t="n">
        <v>2683875</v>
      </c>
    </row>
    <row r="5" customFormat="false" ht="13.8" hidden="false" customHeight="false" outlineLevel="0" collapsed="false">
      <c r="A5" s="7"/>
      <c r="B5" s="11" t="n">
        <v>1.5</v>
      </c>
      <c r="C5" s="11" t="n">
        <f aca="false">((C4-B4)*100)/B4</f>
        <v>7.48262285463494</v>
      </c>
      <c r="D5" s="11" t="n">
        <f aca="false">((D4-C4)*100)/C4</f>
        <v>3.09371940546474</v>
      </c>
      <c r="E5" s="11" t="n">
        <f aca="false">((E4-D4)*100)/D4</f>
        <v>9.09153695586999</v>
      </c>
      <c r="F5" s="11" t="n">
        <f aca="false">((F4-E4)*100)/E4</f>
        <v>4.00164274402206</v>
      </c>
      <c r="G5" s="11" t="n">
        <f aca="false">(G4-F4)/F4*100</f>
        <v>6.11343178669091</v>
      </c>
      <c r="H5" s="11" t="n">
        <f aca="false">(H4-G4)/G4*100</f>
        <v>7.77484800671448</v>
      </c>
      <c r="I5" s="11" t="n">
        <f aca="false">(I4-H4)/H4*100</f>
        <v>3.49670444367364</v>
      </c>
      <c r="J5" s="11" t="n">
        <f aca="false">(J4-I4)/I4*100</f>
        <v>1.84012866757526</v>
      </c>
      <c r="K5" s="11" t="n">
        <f aca="false">(K4-J4)/J4*100</f>
        <v>2.67927339170715</v>
      </c>
    </row>
    <row r="6" customFormat="false" ht="15" hidden="false" customHeight="true" outlineLevel="0" collapsed="false">
      <c r="A6" s="7" t="s">
        <v>14</v>
      </c>
      <c r="B6" s="8" t="n">
        <v>557669</v>
      </c>
      <c r="C6" s="8" t="n">
        <v>639590</v>
      </c>
      <c r="D6" s="8" t="n">
        <v>665285</v>
      </c>
      <c r="E6" s="8" t="n">
        <v>721090</v>
      </c>
      <c r="F6" s="8" t="n">
        <v>795529.566212855</v>
      </c>
      <c r="G6" s="8" t="n">
        <v>920400</v>
      </c>
      <c r="H6" s="8" t="n">
        <v>1060486.97230283</v>
      </c>
      <c r="I6" s="8" t="n">
        <v>1101812</v>
      </c>
      <c r="J6" s="9" t="n">
        <v>1214046</v>
      </c>
      <c r="K6" s="10" t="n">
        <v>1281719</v>
      </c>
      <c r="L6" s="12"/>
    </row>
    <row r="7" customFormat="false" ht="13.8" hidden="false" customHeight="false" outlineLevel="0" collapsed="false">
      <c r="A7" s="7"/>
      <c r="B7" s="11" t="n">
        <v>4.8</v>
      </c>
      <c r="C7" s="11" t="n">
        <f aca="false">((C6-B6)*100)/B6</f>
        <v>14.6898966949929</v>
      </c>
      <c r="D7" s="11" t="n">
        <f aca="false">((D6-C6)*100)/C6</f>
        <v>4.01741740802702</v>
      </c>
      <c r="E7" s="11" t="n">
        <f aca="false">((E6-D6)*100)/D6</f>
        <v>8.38813440856174</v>
      </c>
      <c r="F7" s="11" t="n">
        <f aca="false">((F6-E6)*100)/E6</f>
        <v>10.3232004621968</v>
      </c>
      <c r="G7" s="11" t="n">
        <f aca="false">(G6-F6)/F6*100</f>
        <v>15.6965170234458</v>
      </c>
      <c r="H7" s="11" t="n">
        <v>15.2202273253837</v>
      </c>
      <c r="I7" s="11" t="n">
        <f aca="false">(I6-H6)/H6*100</f>
        <v>3.89679729939853</v>
      </c>
      <c r="J7" s="11" t="n">
        <f aca="false">(J6-I6)/I6*100</f>
        <v>10.1863112763339</v>
      </c>
      <c r="K7" s="11" t="n">
        <f aca="false">(K6-J6)/J6*100</f>
        <v>5.57417099516822</v>
      </c>
    </row>
    <row r="8" customFormat="false" ht="17.25" hidden="false" customHeight="true" outlineLevel="0" collapsed="false">
      <c r="A8" s="7" t="s">
        <v>15</v>
      </c>
      <c r="B8" s="8" t="n">
        <v>1167154</v>
      </c>
      <c r="C8" s="8" t="n">
        <v>1214295</v>
      </c>
      <c r="D8" s="8" t="n">
        <v>1249954</v>
      </c>
      <c r="E8" s="8" t="n">
        <v>1363910</v>
      </c>
      <c r="F8" s="8" t="n">
        <v>1372904.685</v>
      </c>
      <c r="G8" s="8" t="n">
        <v>1380600</v>
      </c>
      <c r="H8" s="8" t="n">
        <v>1419412.28033167</v>
      </c>
      <c r="I8" s="8" t="n">
        <v>1464802</v>
      </c>
      <c r="J8" s="9" t="n">
        <v>1399797</v>
      </c>
      <c r="K8" s="10" t="n">
        <v>1402156</v>
      </c>
    </row>
    <row r="9" customFormat="false" ht="17.25" hidden="false" customHeight="true" outlineLevel="0" collapsed="false">
      <c r="A9" s="7"/>
      <c r="B9" s="11" t="n">
        <v>-0.05</v>
      </c>
      <c r="C9" s="11" t="n">
        <f aca="false">((C8-B8)*100)/B8</f>
        <v>4.03897000738549</v>
      </c>
      <c r="D9" s="11" t="n">
        <f aca="false">((D8-C8)*100)/C8</f>
        <v>2.93660107305062</v>
      </c>
      <c r="E9" s="11" t="n">
        <f aca="false">((E8-D8)*100)/D8</f>
        <v>9.11681549881036</v>
      </c>
      <c r="F9" s="11" t="n">
        <f aca="false">((F8-E8)*100)/E8</f>
        <v>0.659477898101785</v>
      </c>
      <c r="G9" s="11" t="n">
        <v>6.11343178669116</v>
      </c>
      <c r="H9" s="11" t="n">
        <v>6.11343178669116</v>
      </c>
      <c r="I9" s="11" t="n">
        <f aca="false">(I8-H8)/H8*100</f>
        <v>3.19778265253023</v>
      </c>
      <c r="J9" s="11" t="n">
        <f aca="false">(J8-I8)/I8*100</f>
        <v>-4.43780114991651</v>
      </c>
      <c r="K9" s="11" t="n">
        <f aca="false">(K8-J8)/J8*100</f>
        <v>0.168524436043226</v>
      </c>
    </row>
    <row r="10" customFormat="false" ht="34.5" hidden="false" customHeight="true" outlineLevel="0" collapsed="false">
      <c r="A10" s="7" t="s">
        <v>16</v>
      </c>
      <c r="B10" s="8" t="n">
        <v>300901</v>
      </c>
      <c r="C10" s="8" t="n">
        <v>317854</v>
      </c>
      <c r="D10" s="8" t="n">
        <v>332544</v>
      </c>
      <c r="E10" s="8" t="n">
        <v>347000</v>
      </c>
      <c r="F10" s="8" t="n">
        <v>357081.560495459</v>
      </c>
      <c r="G10" s="8" t="n">
        <v>552156</v>
      </c>
      <c r="H10" s="8" t="n">
        <v>520741.9</v>
      </c>
      <c r="I10" s="8" t="n">
        <v>512788</v>
      </c>
      <c r="J10" s="9" t="n">
        <v>430085</v>
      </c>
      <c r="K10" s="10" t="n">
        <v>447767</v>
      </c>
    </row>
    <row r="11" customFormat="false" ht="13.8" hidden="false" customHeight="false" outlineLevel="0" collapsed="false">
      <c r="A11" s="7"/>
      <c r="B11" s="11" t="n">
        <v>0.9</v>
      </c>
      <c r="C11" s="11" t="n">
        <f aca="false">((C10-B10)*100)/B10</f>
        <v>5.63407898278836</v>
      </c>
      <c r="D11" s="11" t="n">
        <f aca="false">((D10-C10)*100)/C10</f>
        <v>4.62161873061217</v>
      </c>
      <c r="E11" s="11" t="n">
        <f aca="false">((E10-D10)*100)/D10</f>
        <v>4.34709391839877</v>
      </c>
      <c r="F11" s="11" t="n">
        <f aca="false">((F10-E10)*100)/E10</f>
        <v>2.90534884595361</v>
      </c>
      <c r="G11" s="11" t="n">
        <f aca="false">(G10-F10)/F10*100</f>
        <v>54.6302192792791</v>
      </c>
      <c r="H11" s="11" t="n">
        <v>-5.6893522844993</v>
      </c>
      <c r="I11" s="11" t="n">
        <f aca="false">(I10-H10)/H10*100</f>
        <v>-1.52741694109885</v>
      </c>
      <c r="J11" s="11" t="n">
        <f aca="false">(J10-I10)/I10*100</f>
        <v>-16.1281075220169</v>
      </c>
      <c r="K11" s="11" t="n">
        <f aca="false">(K10-J10)/J10*100</f>
        <v>4.1112803283072</v>
      </c>
    </row>
    <row r="12" customFormat="false" ht="15" hidden="false" customHeight="true" outlineLevel="0" collapsed="false">
      <c r="A12" s="7" t="s">
        <v>15</v>
      </c>
      <c r="B12" s="8" t="n">
        <v>174012</v>
      </c>
      <c r="C12" s="8" t="n">
        <v>179110</v>
      </c>
      <c r="D12" s="8" t="n">
        <v>180080</v>
      </c>
      <c r="E12" s="8" t="n">
        <v>185200</v>
      </c>
      <c r="F12" s="8" t="n">
        <v>188574.25</v>
      </c>
      <c r="G12" s="8" t="n">
        <v>189517</v>
      </c>
      <c r="H12" s="8" t="n">
        <v>188171.9</v>
      </c>
      <c r="I12" s="8" t="n">
        <v>194090</v>
      </c>
      <c r="J12" s="9" t="n">
        <v>116503</v>
      </c>
      <c r="K12" s="10" t="n">
        <v>138271</v>
      </c>
    </row>
    <row r="13" customFormat="false" ht="13.8" hidden="false" customHeight="false" outlineLevel="0" collapsed="false">
      <c r="A13" s="7"/>
      <c r="B13" s="11" t="n">
        <v>0.1</v>
      </c>
      <c r="C13" s="11" t="n">
        <f aca="false">((C12-B12)*100)/B12</f>
        <v>2.9296830103671</v>
      </c>
      <c r="D13" s="11" t="n">
        <f aca="false">((D12-C12)*100)/C12</f>
        <v>0.541566635028753</v>
      </c>
      <c r="E13" s="11" t="n">
        <f aca="false">((E12-D12)*100)/D12</f>
        <v>2.84318080852954</v>
      </c>
      <c r="F13" s="11" t="n">
        <f aca="false">((F12-E12)*100)/E12</f>
        <v>1.82194924406048</v>
      </c>
      <c r="G13" s="11" t="n">
        <f aca="false">(G12-F12)/F12*100</f>
        <v>0.499935701719614</v>
      </c>
      <c r="H13" s="11" t="n">
        <v>-0.709751631779738</v>
      </c>
      <c r="I13" s="11" t="n">
        <f aca="false">(I12-H12)/H12*100</f>
        <v>3.14504981880929</v>
      </c>
      <c r="J13" s="11" t="n">
        <f aca="false">(J12-I12)/I12*100</f>
        <v>-39.9747539801123</v>
      </c>
      <c r="K13" s="11" t="n">
        <f aca="false">(K12-J12)/J12*100</f>
        <v>18.6844973949169</v>
      </c>
    </row>
    <row r="14" customFormat="false" ht="15" hidden="false" customHeight="true" outlineLevel="0" collapsed="false">
      <c r="A14" s="7" t="s">
        <v>17</v>
      </c>
      <c r="B14" s="8" t="n">
        <v>2658</v>
      </c>
      <c r="C14" s="8" t="n">
        <v>2785</v>
      </c>
      <c r="D14" s="8" t="n">
        <v>2714</v>
      </c>
      <c r="E14" s="8" t="n">
        <v>2800</v>
      </c>
      <c r="F14" s="8" t="n">
        <v>2762.728</v>
      </c>
      <c r="G14" s="8" t="n">
        <v>2735</v>
      </c>
      <c r="H14" s="8" t="n">
        <v>2963.7</v>
      </c>
      <c r="I14" s="8" t="n">
        <v>2880</v>
      </c>
      <c r="J14" s="9" t="n">
        <v>1874</v>
      </c>
      <c r="K14" s="10" t="n">
        <v>2762</v>
      </c>
    </row>
    <row r="15" customFormat="false" ht="13.8" hidden="false" customHeight="false" outlineLevel="0" collapsed="false">
      <c r="A15" s="7"/>
      <c r="B15" s="11" t="n">
        <v>0.1</v>
      </c>
      <c r="C15" s="11" t="n">
        <f aca="false">((C14-B14)*100)/B14</f>
        <v>4.77802859292701</v>
      </c>
      <c r="D15" s="11" t="n">
        <f aca="false">((D14-C14)*100)/C14</f>
        <v>-2.54937163375224</v>
      </c>
      <c r="E15" s="11" t="n">
        <f aca="false">((E14-D14)*100)/D14</f>
        <v>3.16875460574797</v>
      </c>
      <c r="F15" s="11" t="n">
        <f aca="false">((F14-E14)*100)/E14</f>
        <v>-1.33114285714285</v>
      </c>
      <c r="G15" s="11" t="n">
        <f aca="false">(G14-F14)/F14*100</f>
        <v>-1.00364567195902</v>
      </c>
      <c r="H15" s="11" t="n">
        <v>8.36197440585009</v>
      </c>
      <c r="I15" s="11" t="n">
        <f aca="false">(I14-H14)/H14*100</f>
        <v>-2.82417248709383</v>
      </c>
      <c r="J15" s="11" t="n">
        <f aca="false">(J14-I14)/I14*100</f>
        <v>-34.9305555555556</v>
      </c>
      <c r="K15" s="11" t="n">
        <f aca="false">(K14-J14)/J14*100</f>
        <v>47.3852721451441</v>
      </c>
    </row>
    <row r="16" customFormat="false" ht="15" hidden="false" customHeight="true" outlineLevel="0" collapsed="false">
      <c r="A16" s="7" t="s">
        <v>18</v>
      </c>
      <c r="B16" s="8" t="n">
        <v>60906</v>
      </c>
      <c r="C16" s="8" t="n">
        <v>63807</v>
      </c>
      <c r="D16" s="8" t="n">
        <v>67706</v>
      </c>
      <c r="E16" s="8" t="n">
        <v>70800</v>
      </c>
      <c r="F16" s="8" t="n">
        <v>73914.3535726959</v>
      </c>
      <c r="G16" s="8" t="n">
        <v>75023</v>
      </c>
      <c r="H16" s="8" t="n">
        <v>70755.2</v>
      </c>
      <c r="I16" s="8" t="n">
        <v>74241</v>
      </c>
      <c r="J16" s="9" t="n">
        <v>77162</v>
      </c>
      <c r="K16" s="10" t="n">
        <v>86280</v>
      </c>
    </row>
    <row r="17" customFormat="false" ht="13.8" hidden="false" customHeight="false" outlineLevel="0" collapsed="false">
      <c r="A17" s="7"/>
      <c r="B17" s="11" t="n">
        <v>3.1</v>
      </c>
      <c r="C17" s="11" t="n">
        <f aca="false">((C16-B16)*100)/B16</f>
        <v>4.76307752930746</v>
      </c>
      <c r="D17" s="11" t="n">
        <f aca="false">((D16-C16)*100)/C16</f>
        <v>6.11061482282508</v>
      </c>
      <c r="E17" s="11" t="n">
        <f aca="false">((E16-D16)*100)/D16</f>
        <v>4.56975748087319</v>
      </c>
      <c r="F17" s="11" t="n">
        <f aca="false">((F16-E16)*100)/E16</f>
        <v>4.39880448120889</v>
      </c>
      <c r="G17" s="11" t="n">
        <f aca="false">(G16-F16)/F16*100</f>
        <v>1.4999068160878</v>
      </c>
      <c r="H17" s="11" t="n">
        <v>-5.68865547898645</v>
      </c>
      <c r="I17" s="11" t="n">
        <f aca="false">(I16-H16)/H16*100</f>
        <v>4.92656370132514</v>
      </c>
      <c r="J17" s="11" t="n">
        <f aca="false">(J16-I16)/I16*100</f>
        <v>3.93448364111475</v>
      </c>
      <c r="K17" s="11" t="n">
        <f aca="false">(K16-J16)/J16*100</f>
        <v>11.816697338068</v>
      </c>
    </row>
    <row r="18" customFormat="false" ht="15" hidden="false" customHeight="true" outlineLevel="0" collapsed="false">
      <c r="A18" s="7" t="s">
        <v>19</v>
      </c>
      <c r="B18" s="8" t="n">
        <v>20135</v>
      </c>
      <c r="C18" s="8" t="n">
        <v>21094</v>
      </c>
      <c r="D18" s="8" t="n">
        <v>24535</v>
      </c>
      <c r="E18" s="8" t="n">
        <v>28200</v>
      </c>
      <c r="F18" s="8" t="n">
        <v>28578.8393288076</v>
      </c>
      <c r="G18" s="8" t="n">
        <v>29493</v>
      </c>
      <c r="H18" s="8" t="n">
        <v>31450</v>
      </c>
      <c r="I18" s="8" t="n">
        <v>36059</v>
      </c>
      <c r="J18" s="9" t="n">
        <v>32533</v>
      </c>
      <c r="K18" s="10" t="n">
        <v>39183</v>
      </c>
    </row>
    <row r="19" customFormat="false" ht="13.8" hidden="false" customHeight="false" outlineLevel="0" collapsed="false">
      <c r="A19" s="7"/>
      <c r="B19" s="11" t="n">
        <v>4.5</v>
      </c>
      <c r="C19" s="11" t="n">
        <f aca="false">((C18-B18)*100)/B18</f>
        <v>4.76285075738763</v>
      </c>
      <c r="D19" s="11" t="n">
        <f aca="false">((D18-C18)*100)/C18</f>
        <v>16.3126955532379</v>
      </c>
      <c r="E19" s="11" t="n">
        <f aca="false">((E18-D18)*100)/D18</f>
        <v>14.9378438964744</v>
      </c>
      <c r="F19" s="11" t="n">
        <f aca="false">((F18-E18)*100)/E18</f>
        <v>1.34340187520426</v>
      </c>
      <c r="G19" s="11" t="n">
        <f aca="false">(G18-F18)/F18*100</f>
        <v>3.19873267306178</v>
      </c>
      <c r="H19" s="11" t="n">
        <v>6.63547282405995</v>
      </c>
      <c r="I19" s="11" t="n">
        <f aca="false">(I18-H18)/H18*100</f>
        <v>14.6550079491256</v>
      </c>
      <c r="J19" s="11" t="n">
        <f aca="false">(J18-I18)/I18*100</f>
        <v>-9.77841870268172</v>
      </c>
      <c r="K19" s="11" t="n">
        <f aca="false">(K18-J18)/J18*100</f>
        <v>20.4407832047459</v>
      </c>
    </row>
    <row r="20" customFormat="false" ht="15" hidden="false" customHeight="true" outlineLevel="0" collapsed="false">
      <c r="A20" s="7" t="s">
        <v>20</v>
      </c>
      <c r="B20" s="8" t="n">
        <v>45458</v>
      </c>
      <c r="C20" s="8" t="n">
        <v>50815</v>
      </c>
      <c r="D20" s="8" t="n">
        <v>57268</v>
      </c>
      <c r="E20" s="8" t="n">
        <v>60100</v>
      </c>
      <c r="F20" s="8" t="n">
        <v>62899.098</v>
      </c>
      <c r="G20" s="8" t="n">
        <v>255001</v>
      </c>
      <c r="H20" s="8" t="n">
        <v>226959.3</v>
      </c>
      <c r="I20" s="8" t="n">
        <v>204923</v>
      </c>
      <c r="J20" s="9" t="n">
        <v>200658</v>
      </c>
      <c r="K20" s="10" t="n">
        <v>180076</v>
      </c>
    </row>
    <row r="21" customFormat="false" ht="13.8" hidden="false" customHeight="false" outlineLevel="0" collapsed="false">
      <c r="A21" s="7"/>
      <c r="B21" s="11" t="n">
        <v>5.4</v>
      </c>
      <c r="C21" s="11" t="n">
        <f aca="false">((C20-B20)*100)/B20</f>
        <v>11.7845043776673</v>
      </c>
      <c r="D21" s="11" t="n">
        <f aca="false">((D20-C20)*100)/C20</f>
        <v>12.699006198957</v>
      </c>
      <c r="E21" s="11" t="n">
        <f aca="false">((E20-D20)*100)/D20</f>
        <v>4.94517007753021</v>
      </c>
      <c r="F21" s="11" t="n">
        <f aca="false">((F20-E20)*100)/E20</f>
        <v>4.6574009983361</v>
      </c>
      <c r="G21" s="11" t="n">
        <f aca="false">(G20-F20)/F20*100</f>
        <v>305.41280894044</v>
      </c>
      <c r="H21" s="11" t="n">
        <v>-10.9967019737178</v>
      </c>
      <c r="I21" s="11" t="n">
        <f aca="false">(I20-H20)/H20*100</f>
        <v>-9.70936198692893</v>
      </c>
      <c r="J21" s="11" t="n">
        <f aca="false">(J20-I20)/I20*100</f>
        <v>-2.08126955002611</v>
      </c>
      <c r="K21" s="11" t="n">
        <f aca="false">(K20-J20)/J20*100</f>
        <v>-10.2572536355391</v>
      </c>
    </row>
    <row r="22" customFormat="false" ht="15" hidden="false" customHeight="true" outlineLevel="0" collapsed="false">
      <c r="A22" s="7" t="s">
        <v>21</v>
      </c>
      <c r="B22" s="8" t="n">
        <v>232</v>
      </c>
      <c r="C22" s="8" t="n">
        <v>243</v>
      </c>
      <c r="D22" s="8" t="n">
        <v>241</v>
      </c>
      <c r="E22" s="8" t="n">
        <v>300</v>
      </c>
      <c r="F22" s="8" t="n">
        <v>352.291593955095</v>
      </c>
      <c r="G22" s="8" t="n">
        <v>387</v>
      </c>
      <c r="H22" s="8" t="n">
        <v>441.8</v>
      </c>
      <c r="I22" s="8" t="n">
        <v>596</v>
      </c>
      <c r="J22" s="9" t="n">
        <v>1355</v>
      </c>
      <c r="K22" s="10" t="n">
        <v>1195</v>
      </c>
    </row>
    <row r="23" customFormat="false" ht="13.8" hidden="false" customHeight="false" outlineLevel="0" collapsed="false">
      <c r="A23" s="7"/>
      <c r="B23" s="11" t="n">
        <v>2.2</v>
      </c>
      <c r="C23" s="11" t="n">
        <f aca="false">((C22-B22)*100)/B22</f>
        <v>4.74137931034483</v>
      </c>
      <c r="D23" s="11" t="n">
        <f aca="false">((D22-C22)*100)/C22</f>
        <v>-0.823045267489712</v>
      </c>
      <c r="E23" s="11" t="n">
        <f aca="false">((E22-D22)*100)/D22</f>
        <v>24.4813278008299</v>
      </c>
      <c r="F23" s="11" t="n">
        <f aca="false">((F22-E22)*100)/E22</f>
        <v>17.430531318365</v>
      </c>
      <c r="G23" s="11" t="n">
        <f aca="false">(G22-F22)/F22*100</f>
        <v>9.85218115914771</v>
      </c>
      <c r="H23" s="11" t="n">
        <f aca="false">(H22-G22)/G22*100</f>
        <v>14.1602067183463</v>
      </c>
      <c r="I23" s="11" t="n">
        <f aca="false">(I22-H22)/H22*100</f>
        <v>34.9026708918062</v>
      </c>
      <c r="J23" s="11" t="n">
        <f aca="false">(J22-I22)/I22*100</f>
        <v>127.348993288591</v>
      </c>
      <c r="K23" s="11" t="n">
        <f aca="false">(K22-J22)/J22*100</f>
        <v>-11.8081180811808</v>
      </c>
    </row>
    <row r="24" customFormat="false" ht="15" hidden="false" customHeight="true" outlineLevel="0" collapsed="false">
      <c r="A24" s="7" t="s">
        <v>22</v>
      </c>
      <c r="B24" s="8" t="n">
        <v>899501</v>
      </c>
      <c r="C24" s="8" t="n">
        <v>1208072</v>
      </c>
      <c r="D24" s="8" t="n">
        <v>1352296</v>
      </c>
      <c r="E24" s="8" t="n">
        <v>1512265</v>
      </c>
      <c r="F24" s="8" t="n">
        <v>1549689</v>
      </c>
      <c r="G24" s="8" t="n">
        <v>1620000</v>
      </c>
      <c r="H24" s="8" t="n">
        <v>1493550</v>
      </c>
      <c r="I24" s="8" t="n">
        <v>1330602</v>
      </c>
      <c r="J24" s="9" t="n">
        <v>1607333</v>
      </c>
      <c r="K24" s="10" t="n">
        <v>1645405</v>
      </c>
    </row>
    <row r="25" customFormat="false" ht="13.8" hidden="false" customHeight="false" outlineLevel="0" collapsed="false">
      <c r="A25" s="7"/>
      <c r="B25" s="11" t="n">
        <v>3.1</v>
      </c>
      <c r="C25" s="11" t="n">
        <f aca="false">((C24-B24)*100)/B24</f>
        <v>34.3046867096312</v>
      </c>
      <c r="D25" s="11" t="n">
        <f aca="false">((D24-C24)*100)/C24</f>
        <v>11.9383612897245</v>
      </c>
      <c r="E25" s="11" t="n">
        <f aca="false">((E24-D24)*100)/D24</f>
        <v>11.8294367505339</v>
      </c>
      <c r="F25" s="11" t="n">
        <f aca="false">((F24-E24)*100)/E24</f>
        <v>2.47469854820418</v>
      </c>
      <c r="G25" s="11" t="n">
        <f aca="false">(G24-F24)/F24*100</f>
        <v>4.53710389633017</v>
      </c>
      <c r="H25" s="11" t="n">
        <v>-7.80555555555556</v>
      </c>
      <c r="I25" s="11" t="n">
        <f aca="false">(I24-H24)/H24*100</f>
        <v>-10.9101134879984</v>
      </c>
      <c r="J25" s="11" t="n">
        <f aca="false">(J24-I24)/I24*100</f>
        <v>20.7974285323485</v>
      </c>
      <c r="K25" s="11" t="n">
        <f aca="false">(K24-J24)/J24*100</f>
        <v>2.36864420751643</v>
      </c>
    </row>
    <row r="26" customFormat="false" ht="15" hidden="false" customHeight="true" outlineLevel="0" collapsed="false">
      <c r="A26" s="7" t="s">
        <v>23</v>
      </c>
      <c r="B26" s="8" t="n">
        <v>885947</v>
      </c>
      <c r="C26" s="8" t="n">
        <v>1194166</v>
      </c>
      <c r="D26" s="8" t="n">
        <v>1338312</v>
      </c>
      <c r="E26" s="8" t="n">
        <v>1498024</v>
      </c>
      <c r="F26" s="8" t="n">
        <v>1534680</v>
      </c>
      <c r="G26" s="8" t="n">
        <v>1603800</v>
      </c>
      <c r="H26" s="8" t="n">
        <v>1475620</v>
      </c>
      <c r="I26" s="8" t="n">
        <v>1306380</v>
      </c>
      <c r="J26" s="9" t="n">
        <v>1547103</v>
      </c>
      <c r="K26" s="10" t="n">
        <v>1602754</v>
      </c>
    </row>
    <row r="27" customFormat="false" ht="13.8" hidden="false" customHeight="false" outlineLevel="0" collapsed="false">
      <c r="A27" s="7"/>
      <c r="B27" s="11" t="n">
        <v>3.1</v>
      </c>
      <c r="C27" s="11" t="n">
        <f aca="false">((C26-B26)*100)/B26</f>
        <v>34.7897786210688</v>
      </c>
      <c r="D27" s="11" t="n">
        <f aca="false">((D26-C26)*100)/C26</f>
        <v>12.0708511212009</v>
      </c>
      <c r="E27" s="11" t="n">
        <f aca="false">((E26-D26)*100)/D26</f>
        <v>11.9338390450059</v>
      </c>
      <c r="F27" s="11" t="n">
        <f aca="false">((F26-E26)*100)/E26</f>
        <v>2.44695679107945</v>
      </c>
      <c r="G27" s="11" t="n">
        <v>4.50387051372273</v>
      </c>
      <c r="H27" s="11" t="n">
        <v>-8.03412837404099</v>
      </c>
      <c r="I27" s="11" t="n">
        <f aca="false">(I26-H26)/H26*100</f>
        <v>-11.4690774047519</v>
      </c>
      <c r="J27" s="11" t="n">
        <f aca="false">(J26-I26)/I26*100</f>
        <v>18.4267211684196</v>
      </c>
      <c r="K27" s="11" t="n">
        <f aca="false">(K26-J26)/J26*100</f>
        <v>3.59711021179585</v>
      </c>
    </row>
    <row r="28" customFormat="false" ht="15" hidden="false" customHeight="true" outlineLevel="0" collapsed="false">
      <c r="A28" s="7" t="s">
        <v>24</v>
      </c>
      <c r="B28" s="8" t="n">
        <v>13554</v>
      </c>
      <c r="C28" s="8" t="n">
        <v>13906</v>
      </c>
      <c r="D28" s="8" t="n">
        <v>13984</v>
      </c>
      <c r="E28" s="8" t="n">
        <v>14241</v>
      </c>
      <c r="F28" s="8" t="n">
        <v>15009</v>
      </c>
      <c r="G28" s="8" t="n">
        <v>15474</v>
      </c>
      <c r="H28" s="8" t="n">
        <v>17930</v>
      </c>
      <c r="I28" s="8" t="n">
        <v>24223</v>
      </c>
      <c r="J28" s="9" t="n">
        <v>60229</v>
      </c>
      <c r="K28" s="10" t="n">
        <v>42651</v>
      </c>
    </row>
    <row r="29" customFormat="false" ht="13.8" hidden="false" customHeight="false" outlineLevel="0" collapsed="false">
      <c r="A29" s="7"/>
      <c r="B29" s="11" t="n">
        <v>1.1</v>
      </c>
      <c r="C29" s="11" t="n">
        <f aca="false">((C28-B28)*100)/B28</f>
        <v>2.59701933008706</v>
      </c>
      <c r="D29" s="11" t="n">
        <f aca="false">((D28-C28)*100)/C28</f>
        <v>0.560908960161082</v>
      </c>
      <c r="E29" s="11" t="n">
        <f aca="false">((E28-D28)*100)/D28</f>
        <v>1.83781464530892</v>
      </c>
      <c r="F29" s="11" t="n">
        <f aca="false">((F28-E28)*100)/E28</f>
        <v>5.39287971350327</v>
      </c>
      <c r="G29" s="11" t="n">
        <v>3.0981411153308</v>
      </c>
      <c r="H29" s="11" t="n">
        <v>15.90174531351</v>
      </c>
      <c r="I29" s="11" t="n">
        <v>15.90174531351</v>
      </c>
      <c r="J29" s="11" t="n">
        <v>15.90174531351</v>
      </c>
      <c r="K29" s="11" t="n">
        <v>15.90174531351</v>
      </c>
    </row>
    <row r="30" customFormat="false" ht="15" hidden="false" customHeight="true" outlineLevel="0" collapsed="false">
      <c r="A30" s="7" t="s">
        <v>25</v>
      </c>
      <c r="B30" s="8" t="n">
        <v>586729</v>
      </c>
      <c r="C30" s="8" t="n">
        <v>588348</v>
      </c>
      <c r="D30" s="8" t="n">
        <v>594312</v>
      </c>
      <c r="E30" s="8" t="n">
        <v>594639</v>
      </c>
      <c r="F30" s="8" t="n">
        <v>589738</v>
      </c>
      <c r="G30" s="8" t="n">
        <v>592686.69</v>
      </c>
      <c r="H30" s="8" t="n">
        <v>584000</v>
      </c>
      <c r="I30" s="8" t="n">
        <v>567412</v>
      </c>
      <c r="J30" s="9" t="n">
        <v>381105</v>
      </c>
      <c r="K30" s="10" t="n">
        <v>389741</v>
      </c>
    </row>
    <row r="31" customFormat="false" ht="13.8" hidden="false" customHeight="false" outlineLevel="0" collapsed="false">
      <c r="A31" s="7"/>
      <c r="B31" s="11" t="n">
        <v>-0.02</v>
      </c>
      <c r="C31" s="11" t="n">
        <f aca="false">((C30-B30)*100)/B30</f>
        <v>0.275936590828134</v>
      </c>
      <c r="D31" s="11" t="n">
        <f aca="false">((D30-C30)*100)/C30</f>
        <v>1.01368577780497</v>
      </c>
      <c r="E31" s="11" t="n">
        <f aca="false">((E30-D30)*100)/D30</f>
        <v>0.0550216048136332</v>
      </c>
      <c r="F31" s="11" t="n">
        <f aca="false">((F30-E30)*100)/E30</f>
        <v>-0.824197538338387</v>
      </c>
      <c r="G31" s="11" t="n">
        <v>0.499999999999991</v>
      </c>
      <c r="H31" s="8" t="n">
        <v>-1.46785895056522</v>
      </c>
      <c r="I31" s="11" t="n">
        <f aca="false">(I30-H30)/H30*100</f>
        <v>-2.84041095890411</v>
      </c>
      <c r="J31" s="11" t="n">
        <f aca="false">(J30-I30)/I30*100</f>
        <v>-32.8345188328763</v>
      </c>
      <c r="K31" s="11" t="n">
        <f aca="false">(K30-J30)/J30*100</f>
        <v>2.2660421668569</v>
      </c>
    </row>
    <row r="32" customFormat="false" ht="13.8" hidden="false" customHeight="false" outlineLevel="0" collapsed="false">
      <c r="A32" s="13" t="s">
        <v>26</v>
      </c>
      <c r="B32" s="13"/>
      <c r="C32" s="13"/>
      <c r="D32" s="13"/>
      <c r="E32" s="13"/>
      <c r="F32" s="13"/>
      <c r="G32" s="13"/>
      <c r="H32" s="13"/>
    </row>
    <row r="33" customFormat="false" ht="13.8" hidden="false" customHeight="false" outlineLevel="0" collapsed="false">
      <c r="A33" s="13" t="s">
        <v>27</v>
      </c>
      <c r="B33" s="13"/>
      <c r="C33" s="13"/>
      <c r="D33" s="13"/>
      <c r="E33" s="13"/>
      <c r="F33" s="13"/>
      <c r="G33" s="13"/>
      <c r="H33" s="13"/>
    </row>
  </sheetData>
  <mergeCells count="19">
    <mergeCell ref="A1:H1"/>
    <mergeCell ref="A2:A3"/>
    <mergeCell ref="B2:K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H32"/>
    <mergeCell ref="A33:H3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2026-04-04T14:02:24Z</dcterms:created>
  <dc:creator/>
  <dc:description/>
  <dc:language>en-US</dc:language>
  <cp:lastModifiedBy/>
  <dcterms:modified xsi:type="dcterms:W3CDTF">2026-04-04T14:13:33Z</dcterms:modified>
  <cp:revision>2</cp:revision>
  <dc:subject/>
  <dc:title/>
</cp:coreProperties>
</file>