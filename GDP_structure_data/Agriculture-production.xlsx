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Food crops 1975-2014" sheetId="1" state="visible" r:id="rId3"/>
    <sheet name="Cash crops 1975-2014" sheetId="2" state="visible" r:id="rId4"/>
    <sheet name="Other cash crops 1975-2014" sheetId="3" state="visible" r:id="rId5"/>
    <sheet name="Other cash crops 2008-" sheetId="4" state="visible" r:id="rId6"/>
    <sheet name="Livestock 1975-2014" sheetId="5" state="visible" r:id="rId7"/>
    <sheet name="No of livestock" sheetId="6" state="visible" r:id="rId8"/>
    <sheet name="Pulse crops 2015-" sheetId="7" state="visible" r:id="rId9"/>
    <sheet name="Production of spicies 2015-" sheetId="8" state="visible" r:id="rId10"/>
    <sheet name="Industrial crops 2015-" sheetId="9" state="visible" r:id="rId11"/>
    <sheet name="Index of Ag comm 1985-1995" sheetId="10" state="visible" r:id="rId12"/>
    <sheet name="Index of Ag comm 1995-2002" sheetId="11" state="visible" r:id="rId13"/>
  </sheets>
  <definedNames>
    <definedName function="false" hidden="false" localSheetId="8" name="_xlnm.Print_Area" vbProcedure="false">'Industrial crops 2015-'!$A$1:$S$22</definedName>
    <definedName function="false" hidden="false" localSheetId="5" name="_xlnm.Print_Area" vbProcedure="false">'No of livestock'!$A$1:$H$33</definedName>
    <definedName function="false" hidden="false" localSheetId="3" name="_xlnm.Print_Area" vbProcedure="false">'Other cash crops 2008-'!$A$1:$O$8</definedName>
    <definedName function="false" hidden="false" localSheetId="7" name="_xlnm.Print_Area" vbProcedure="false">'Production of spicies 2015-'!$A$1:$S$22</definedName>
    <definedName function="false" hidden="false" localSheetId="6" name="_xlnm.Print_Area" vbProcedure="false">'Pulse crops 2015-'!$A$1:$S$27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shivaraj</author>
  </authors>
  <commentList>
    <comment ref="B6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  <comment ref="B7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  <comment ref="B8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  <comment ref="B10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shivaraj</author>
  </authors>
  <commentList>
    <comment ref="B6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  <comment ref="B7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  <comment ref="B8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  <comment ref="B10" authorId="0">
      <text>
        <r>
          <rPr>
            <sz val="10"/>
            <rFont val="Arial"/>
            <family val="2"/>
          </rPr>
          <t xml:space="preserve">shivaraj:
</t>
        </r>
        <r>
          <rPr>
            <sz val="8"/>
            <color rgb="FF000000"/>
            <rFont val="Tahoma"/>
            <family val="0"/>
            <charset val="1"/>
          </rPr>
          <t xml:space="preserve">NSCA</t>
        </r>
      </text>
    </comment>
  </commentList>
</comments>
</file>

<file path=xl/sharedStrings.xml><?xml version="1.0" encoding="utf-8"?>
<sst xmlns="http://schemas.openxmlformats.org/spreadsheetml/2006/main" count="591" uniqueCount="181">
  <si>
    <t xml:space="preserve"> Area, Production and Yield of Principal Food Crops</t>
  </si>
  <si>
    <t xml:space="preserve">Area : Thousand Hectare</t>
  </si>
  <si>
    <t xml:space="preserve">Production: Thousand M.T.</t>
  </si>
  <si>
    <t xml:space="preserve">Yield: M.T./Hectare</t>
  </si>
  <si>
    <t xml:space="preserve">Food Crops</t>
  </si>
  <si>
    <t xml:space="preserve">Fiscal Year</t>
  </si>
  <si>
    <t xml:space="preserve">1974/75</t>
  </si>
  <si>
    <t xml:space="preserve">1975/76</t>
  </si>
  <si>
    <t xml:space="preserve">1976/77</t>
  </si>
  <si>
    <t xml:space="preserve">1977/78</t>
  </si>
  <si>
    <t xml:space="preserve">1978/79</t>
  </si>
  <si>
    <t xml:space="preserve">1979/80</t>
  </si>
  <si>
    <t xml:space="preserve">1980/81</t>
  </si>
  <si>
    <t xml:space="preserve">1981/82</t>
  </si>
  <si>
    <t xml:space="preserve">1982/83</t>
  </si>
  <si>
    <t xml:space="preserve">1983/84</t>
  </si>
  <si>
    <t xml:space="preserve">1984/85</t>
  </si>
  <si>
    <t xml:space="preserve">1985/86</t>
  </si>
  <si>
    <t xml:space="preserve">1986/87</t>
  </si>
  <si>
    <t xml:space="preserve">1987/88</t>
  </si>
  <si>
    <t xml:space="preserve">1988/89</t>
  </si>
  <si>
    <t xml:space="preserve">1989/90</t>
  </si>
  <si>
    <t xml:space="preserve">1990/91</t>
  </si>
  <si>
    <t xml:space="preserve">1991/92</t>
  </si>
  <si>
    <t xml:space="preserve">Area</t>
  </si>
  <si>
    <t xml:space="preserve">Paddy</t>
  </si>
  <si>
    <t xml:space="preserve">Production</t>
  </si>
  <si>
    <t xml:space="preserve">Yield</t>
  </si>
  <si>
    <t xml:space="preserve">Maize</t>
  </si>
  <si>
    <t xml:space="preserve">Wheat</t>
  </si>
  <si>
    <t xml:space="preserve">Barley</t>
  </si>
  <si>
    <t xml:space="preserve">Millet</t>
  </si>
  <si>
    <t xml:space="preserve">Total Area</t>
  </si>
  <si>
    <t xml:space="preserve">Total Production</t>
  </si>
  <si>
    <t xml:space="preserve">Contd..</t>
  </si>
  <si>
    <t xml:space="preserve">1992/93</t>
  </si>
  <si>
    <t xml:space="preserve">1993/94</t>
  </si>
  <si>
    <t xml:space="preserve">1994/95</t>
  </si>
  <si>
    <t xml:space="preserve">1995/96</t>
  </si>
  <si>
    <t xml:space="preserve">1996/97</t>
  </si>
  <si>
    <t xml:space="preserve">1997/98</t>
  </si>
  <si>
    <t xml:space="preserve">1998/99</t>
  </si>
  <si>
    <t xml:space="preserve">1999/00</t>
  </si>
  <si>
    <t xml:space="preserve">2000/01</t>
  </si>
  <si>
    <t xml:space="preserve">2001/02</t>
  </si>
  <si>
    <t xml:space="preserve">2002/03</t>
  </si>
  <si>
    <t xml:space="preserve">2003/04</t>
  </si>
  <si>
    <t xml:space="preserve">2004/05</t>
  </si>
  <si>
    <t xml:space="preserve">2005/06</t>
  </si>
  <si>
    <t xml:space="preserve">2006/07</t>
  </si>
  <si>
    <t xml:space="preserve">2007/08</t>
  </si>
  <si>
    <t xml:space="preserve">2008/09</t>
  </si>
  <si>
    <t xml:space="preserve">2009/10</t>
  </si>
  <si>
    <t xml:space="preserve">2010/11</t>
  </si>
  <si>
    <t xml:space="preserve">2011/12</t>
  </si>
  <si>
    <t xml:space="preserve">2012/13</t>
  </si>
  <si>
    <t xml:space="preserve">2013/14</t>
  </si>
  <si>
    <t xml:space="preserve">Buckwheat**</t>
  </si>
  <si>
    <t xml:space="preserve">* Preliminery Estimate</t>
  </si>
  <si>
    <t xml:space="preserve">** Included from FY 2010/11</t>
  </si>
  <si>
    <t xml:space="preserve">Source : Ministry of Agriculture and Co-operatives</t>
  </si>
  <si>
    <t xml:space="preserve">Area, Production and Yield of Principal Cash Crops</t>
  </si>
  <si>
    <t xml:space="preserve">     Area : Thousand Hectare</t>
  </si>
  <si>
    <t xml:space="preserve">     Production: Thousand M.T.</t>
  </si>
  <si>
    <t xml:space="preserve">     Yield: M.T./Hectare</t>
  </si>
  <si>
    <t xml:space="preserve">Cash Crops</t>
  </si>
  <si>
    <t xml:space="preserve">Sugercane</t>
  </si>
  <si>
    <t xml:space="preserve">Oil Seeds</t>
  </si>
  <si>
    <t xml:space="preserve">Tobacco</t>
  </si>
  <si>
    <t xml:space="preserve">Potato</t>
  </si>
  <si>
    <t xml:space="preserve">Jute</t>
  </si>
  <si>
    <t xml:space="preserve">* Preliminary Estimate</t>
  </si>
  <si>
    <t xml:space="preserve">Other Crops Production </t>
  </si>
  <si>
    <t xml:space="preserve">      in thousand metric ton</t>
  </si>
  <si>
    <t xml:space="preserve">Other Crops</t>
  </si>
  <si>
    <t xml:space="preserve">Pulses</t>
  </si>
  <si>
    <t xml:space="preserve">Fruits</t>
  </si>
  <si>
    <t xml:space="preserve">Vegetables</t>
  </si>
  <si>
    <t xml:space="preserve">Contd.</t>
  </si>
  <si>
    <t xml:space="preserve"> Production of other Crops </t>
  </si>
  <si>
    <t xml:space="preserve">(In thousand metric tons)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</si>
  <si>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</si>
  <si>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</si>
  <si>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</si>
  <si>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</si>
  <si>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</si>
  <si>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</si>
  <si>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</si>
  <si>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</si>
  <si>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</si>
  <si>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</si>
  <si>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Legumes</t>
  </si>
  <si>
    <t xml:space="preserve">Source: Ministry of Agriculture and Livestock Development, 2021</t>
  </si>
  <si>
    <t xml:space="preserve"> Livestock Production </t>
  </si>
  <si>
    <t xml:space="preserve">in thousand metric ton</t>
  </si>
  <si>
    <t xml:space="preserve">Description</t>
  </si>
  <si>
    <t xml:space="preserve">Meat</t>
  </si>
  <si>
    <t xml:space="preserve">Milk &amp; Milk Products</t>
  </si>
  <si>
    <t xml:space="preserve">Egg (in Million)</t>
  </si>
  <si>
    <t xml:space="preserve">Fish</t>
  </si>
  <si>
    <t xml:space="preserve"> Number of Livestock </t>
  </si>
  <si>
    <t xml:space="preserve">Types of Livestock/ Growth rate</t>
  </si>
  <si>
    <t xml:space="preserve">Cattle</t>
  </si>
  <si>
    <t xml:space="preserve">-०.०३</t>
  </si>
  <si>
    <t xml:space="preserve">Buffaloes</t>
  </si>
  <si>
    <t xml:space="preserve">-०.२</t>
  </si>
  <si>
    <t xml:space="preserve">Sheep</t>
  </si>
  <si>
    <t xml:space="preserve">-०.०२</t>
  </si>
  <si>
    <t xml:space="preserve">Goats</t>
  </si>
  <si>
    <t xml:space="preserve">0.7</t>
  </si>
  <si>
    <t xml:space="preserve">Pigs</t>
  </si>
  <si>
    <t xml:space="preserve">Chicken</t>
  </si>
  <si>
    <t xml:space="preserve">Docks</t>
  </si>
  <si>
    <t xml:space="preserve">Milking Cow</t>
  </si>
  <si>
    <t xml:space="preserve">Milking Buffaloes</t>
  </si>
  <si>
    <t xml:space="preserve">Laying Hens</t>
  </si>
  <si>
    <t xml:space="preserve">Laying Ducks</t>
  </si>
  <si>
    <t xml:space="preserve">Yak/Nak/Chauri</t>
  </si>
  <si>
    <t xml:space="preserve">Rabbit</t>
  </si>
  <si>
    <t xml:space="preserve">Horse/Mules/Donkeys</t>
  </si>
  <si>
    <t xml:space="preserve">Source: Ministry of Agriculture and Livestock Development, 2022   </t>
  </si>
  <si>
    <t xml:space="preserve">Note:The second row indicates the growth of every livstocks as compared to previous year</t>
  </si>
  <si>
    <t xml:space="preserve">Production of Pulses Crops</t>
  </si>
  <si>
    <t xml:space="preserve">Area: Hectare</t>
  </si>
  <si>
    <t xml:space="preserve">Production: In metric tons</t>
  </si>
  <si>
    <t xml:space="preserve">Productivity: Metric tons per hectare</t>
  </si>
  <si>
    <t xml:space="preserve">Name of Crops</t>
  </si>
  <si>
    <t xml:space="preserve">Productivity</t>
  </si>
  <si>
    <t xml:space="preserve">Lentil</t>
  </si>
  <si>
    <t xml:space="preserve">Gram</t>
  </si>
  <si>
    <t xml:space="preserve">Pegeon pea</t>
  </si>
  <si>
    <t xml:space="preserve">Black gram</t>
  </si>
  <si>
    <t xml:space="preserve">Soyabeans</t>
  </si>
  <si>
    <t xml:space="preserve">Grass pea</t>
  </si>
  <si>
    <t xml:space="preserve">Horse gram</t>
  </si>
  <si>
    <t xml:space="preserve">Other</t>
  </si>
  <si>
    <t xml:space="preserve">Total production of Pulses crops </t>
  </si>
  <si>
    <t xml:space="preserve">Source: Ministry of Agriculture and Livestock Development, 2022               </t>
  </si>
  <si>
    <t xml:space="preserve">Note:The second row indicates the growth of every pulses crop production as compared to previous year</t>
  </si>
  <si>
    <t xml:space="preserve"> Production of Spices Crops </t>
  </si>
  <si>
    <t xml:space="preserve">Production: Metric Tons</t>
  </si>
  <si>
    <t xml:space="preserve">Productivity: Metric ton per hectare</t>
  </si>
  <si>
    <t xml:space="preserve">Crops/ Growth Rate</t>
  </si>
  <si>
    <t xml:space="preserve">Fiscal year</t>
  </si>
  <si>
    <t xml:space="preserve">Cardamom</t>
  </si>
  <si>
    <t xml:space="preserve">Ginger</t>
  </si>
  <si>
    <t xml:space="preserve">Garlic</t>
  </si>
  <si>
    <t xml:space="preserve">Turmeric</t>
  </si>
  <si>
    <t xml:space="preserve">Chilly</t>
  </si>
  <si>
    <t xml:space="preserve">Total Production of Spices Crops</t>
  </si>
  <si>
    <t xml:space="preserve">-</t>
  </si>
  <si>
    <t xml:space="preserve">Source: Ministry of Agriculture and Livestock Development, 2022                </t>
  </si>
  <si>
    <t xml:space="preserve">Note:The second row indicates the growth of every spices crops as compared to previous year</t>
  </si>
  <si>
    <t xml:space="preserve">Production of Industrial Crops</t>
  </si>
  <si>
    <t xml:space="preserve">Crops/  Growth Rate</t>
  </si>
  <si>
    <t xml:space="preserve">Sugarcane</t>
  </si>
  <si>
    <t xml:space="preserve">Tea</t>
  </si>
  <si>
    <t xml:space="preserve">Coffee</t>
  </si>
  <si>
    <t xml:space="preserve">Cotton</t>
  </si>
  <si>
    <t xml:space="preserve">Fish#</t>
  </si>
  <si>
    <t xml:space="preserve"> </t>
  </si>
  <si>
    <t xml:space="preserve">Source: Ministry of Agriculture and Livestock Development, 2022              </t>
  </si>
  <si>
    <t xml:space="preserve">Note: The secod row indicates the growth of every industrial crop production as compared to previous year. </t>
  </si>
  <si>
    <t xml:space="preserve">#Fishing area and productivity covers fishing pond only but production of fish covers fishing from the management of both natural pond and fishing pond.</t>
  </si>
  <si>
    <t xml:space="preserve"> Quantity index of Agriculture Commodities</t>
  </si>
  <si>
    <t xml:space="preserve">(Base Year 1983/84=100)</t>
  </si>
  <si>
    <t xml:space="preserve">Agricultural Commodities</t>
  </si>
  <si>
    <t xml:space="preserve">Weight (Percent)</t>
  </si>
  <si>
    <t xml:space="preserve">Percentage Change</t>
  </si>
  <si>
    <t xml:space="preserve">Fruit</t>
  </si>
  <si>
    <t xml:space="preserve">Vegetable</t>
  </si>
  <si>
    <t xml:space="preserve">Others</t>
  </si>
  <si>
    <t xml:space="preserve">Livestock</t>
  </si>
  <si>
    <t xml:space="preserve">Milk and Milk Product</t>
  </si>
  <si>
    <t xml:space="preserve">Buffaloes Meat</t>
  </si>
  <si>
    <t xml:space="preserve">Mutton</t>
  </si>
  <si>
    <t xml:space="preserve">Pig's Meat</t>
  </si>
  <si>
    <t xml:space="preserve">Poultry Meat</t>
  </si>
  <si>
    <t xml:space="preserve">Eggs</t>
  </si>
  <si>
    <t xml:space="preserve">Overall Index</t>
  </si>
  <si>
    <t xml:space="preserve">(Base Year 1994/95=100)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</si>
</sst>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0%"/>
    <numFmt numFmtId="167" formatCode="d\-mmm"/>
    <numFmt numFmtId="168" formatCode="0.00"/>
    <numFmt numFmtId="169" formatCode="0"/>
    <numFmt numFmtId="170" formatCode="0.0"/>
    <numFmt numFmtId="171" formatCode="@"/>
    <numFmt numFmtId="172" formatCode="[$-4000439]0.0"/>
    <numFmt numFmtId="173" formatCode="[$-4000439]0"/>
    <numFmt numFmtId="174" formatCode="m/d/yyyy"/>
    <numFmt numFmtId="175" formatCode="[$-4000439]0.#"/>
  </numFmts>
  <fonts count="39">
    <font>
      <sz val="12"/>
      <name val="Dev - Ex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9"/>
      <name val="Times New Roman"/>
      <family val="1"/>
      <charset val="1"/>
    </font>
    <font>
      <sz val="7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9.5"/>
      <color theme="1"/>
      <name val="Times New Roman"/>
      <family val="1"/>
      <charset val="1"/>
    </font>
    <font>
      <sz val="9.5"/>
      <color theme="1"/>
      <name val="Times New Roman"/>
      <family val="1"/>
      <charset val="1"/>
    </font>
    <font>
      <sz val="10"/>
      <color theme="1"/>
      <name val="Kalimati"/>
      <family val="0"/>
      <charset val="1"/>
    </font>
    <font>
      <sz val="10"/>
      <name val="Kalimati"/>
      <family val="0"/>
      <charset val="1"/>
    </font>
    <font>
      <sz val="9"/>
      <color rgb="FF00000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8"/>
      <name val="Times New Roman"/>
      <family val="1"/>
      <charset val="1"/>
    </font>
    <font>
      <sz val="11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8"/>
      <color rgb="FF000000"/>
      <name val="Kohinoor Devanagari Bold"/>
      <family val="0"/>
      <charset val="1"/>
    </font>
    <font>
      <sz val="11"/>
      <color rgb="FF000000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sz val="10"/>
      <name val="Arial"/>
      <family val="2"/>
    </font>
    <font>
      <sz val="8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9">
    <border diagonalUp="false" diagonalDown="false">
      <left/>
      <right/>
      <top/>
      <bottom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double"/>
      <top/>
      <bottom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double"/>
      <top/>
      <bottom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 style="double"/>
      <top style="thin"/>
      <bottom style="double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 style="thin"/>
      <top style="double"/>
      <bottom style="medium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/>
      <top/>
      <bottom style="thin"/>
      <diagonal/>
    </border>
    <border diagonalUp="false" diagonalDown="false">
      <left/>
      <right style="double"/>
      <top/>
      <bottom style="thin"/>
      <diagonal/>
    </border>
    <border diagonalUp="false" diagonalDown="false">
      <left style="double"/>
      <right/>
      <top style="thin"/>
      <bottom style="double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4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9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7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3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9" fillId="0" borderId="14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4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15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7" fillId="0" borderId="0" xfId="23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6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8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7" fillId="0" borderId="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0" fillId="0" borderId="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18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8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0" borderId="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0" borderId="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21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9" fillId="0" borderId="2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2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2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2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0" borderId="2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0" borderId="2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4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2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3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2" borderId="3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8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7" fillId="0" borderId="0" xfId="23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7" fillId="0" borderId="17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2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2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28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2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23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29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9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1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1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18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21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22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23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2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2" borderId="0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3" fillId="2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2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2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3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2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2" fillId="2" borderId="0" xfId="2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3" fillId="2" borderId="0" xfId="2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10" fillId="2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2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8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25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3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1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3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3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7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9" fillId="0" borderId="3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3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2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23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0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3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3" xfId="25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6" fillId="2" borderId="3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16" fillId="2" borderId="3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23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24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14" fillId="2" borderId="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2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2" borderId="3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2" borderId="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0" xfId="25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0" xfId="25" applyFont="true" applyBorder="true" applyAlignment="true" applyProtection="true">
      <alignment horizontal="left" vertical="bottom" textRotation="0" wrapText="false" indent="4" shrinkToFit="false"/>
      <protection locked="true" hidden="false"/>
    </xf>
    <xf numFmtId="164" fontId="26" fillId="2" borderId="35" xfId="2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7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3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3" fillId="0" borderId="3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3" fillId="0" borderId="3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" borderId="3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8" fillId="2" borderId="3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28" fillId="2" borderId="3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8" fillId="2" borderId="3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2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2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2" borderId="0" xfId="2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2" borderId="3" xfId="2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1" fillId="0" borderId="3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8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8" fillId="2" borderId="3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28" fillId="2" borderId="3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2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2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2" borderId="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" borderId="3" xfId="2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0" fillId="2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35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" borderId="3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6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2" borderId="3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2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37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9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5" fillId="0" borderId="4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6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3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5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0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6" fillId="0" borderId="4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4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43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44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45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37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1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3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3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6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47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3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32" xfId="23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3" xfId="23"/>
    <cellStyle name="Normal 4" xfId="24"/>
    <cellStyle name="Normal 5" xfId="25"/>
    <cellStyle name="Percent 2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31" activeCellId="0" sqref="AA31"/>
    </sheetView>
  </sheetViews>
  <sheetFormatPr defaultColWidth="7.78125" defaultRowHeight="12.75" customHeight="false" zeroHeight="false" outlineLevelRow="0" outlineLevelCol="0"/>
  <cols>
    <col collapsed="false" customWidth="true" hidden="false" outlineLevel="0" max="1" min="1" style="1" width="2.33"/>
    <col collapsed="false" customWidth="true" hidden="false" outlineLevel="0" max="2" min="2" style="1" width="9.56"/>
    <col collapsed="false" customWidth="true" hidden="false" outlineLevel="0" max="3" min="3" style="1" width="8.67"/>
    <col collapsed="false" customWidth="true" hidden="false" outlineLevel="0" max="20" min="4" style="1" width="6.11"/>
    <col collapsed="false" customWidth="true" hidden="false" outlineLevel="0" max="21" min="21" style="1" width="6.55"/>
    <col collapsed="false" customWidth="true" hidden="false" outlineLevel="0" max="22" min="22" style="1" width="6.11"/>
    <col collapsed="false" customWidth="true" hidden="false" outlineLevel="0" max="24" min="23" style="1" width="6.77"/>
    <col collapsed="false" customWidth="true" hidden="false" outlineLevel="0" max="25" min="25" style="1" width="6.88"/>
    <col collapsed="false" customWidth="false" hidden="false" outlineLevel="0" max="255" min="26" style="1" width="7.78"/>
    <col collapsed="false" customWidth="true" hidden="false" outlineLevel="0" max="256" min="256" style="1" width="2.33"/>
    <col collapsed="false" customWidth="true" hidden="false" outlineLevel="0" max="257" min="257" style="1" width="5.44"/>
    <col collapsed="false" customWidth="true" hidden="false" outlineLevel="0" max="258" min="258" style="1" width="8.67"/>
    <col collapsed="false" customWidth="true" hidden="false" outlineLevel="0" max="275" min="259" style="1" width="6.11"/>
    <col collapsed="false" customWidth="true" hidden="false" outlineLevel="0" max="276" min="276" style="1" width="6.55"/>
    <col collapsed="false" customWidth="true" hidden="false" outlineLevel="0" max="277" min="277" style="1" width="6.11"/>
    <col collapsed="false" customWidth="true" hidden="false" outlineLevel="0" max="279" min="278" style="1" width="6.77"/>
    <col collapsed="false" customWidth="true" hidden="false" outlineLevel="0" max="280" min="280" style="1" width="6.88"/>
    <col collapsed="false" customWidth="true" hidden="false" outlineLevel="0" max="281" min="281" style="1" width="6.33"/>
    <col collapsed="false" customWidth="false" hidden="false" outlineLevel="0" max="511" min="282" style="1" width="7.78"/>
    <col collapsed="false" customWidth="true" hidden="false" outlineLevel="0" max="512" min="512" style="1" width="2.33"/>
    <col collapsed="false" customWidth="true" hidden="false" outlineLevel="0" max="513" min="513" style="1" width="5.44"/>
    <col collapsed="false" customWidth="true" hidden="false" outlineLevel="0" max="514" min="514" style="1" width="8.67"/>
    <col collapsed="false" customWidth="true" hidden="false" outlineLevel="0" max="531" min="515" style="1" width="6.11"/>
    <col collapsed="false" customWidth="true" hidden="false" outlineLevel="0" max="532" min="532" style="1" width="6.55"/>
    <col collapsed="false" customWidth="true" hidden="false" outlineLevel="0" max="533" min="533" style="1" width="6.11"/>
    <col collapsed="false" customWidth="true" hidden="false" outlineLevel="0" max="535" min="534" style="1" width="6.77"/>
    <col collapsed="false" customWidth="true" hidden="false" outlineLevel="0" max="536" min="536" style="1" width="6.88"/>
    <col collapsed="false" customWidth="true" hidden="false" outlineLevel="0" max="537" min="537" style="1" width="6.33"/>
    <col collapsed="false" customWidth="false" hidden="false" outlineLevel="0" max="767" min="538" style="1" width="7.78"/>
    <col collapsed="false" customWidth="true" hidden="false" outlineLevel="0" max="768" min="768" style="1" width="2.33"/>
    <col collapsed="false" customWidth="true" hidden="false" outlineLevel="0" max="769" min="769" style="1" width="5.44"/>
    <col collapsed="false" customWidth="true" hidden="false" outlineLevel="0" max="770" min="770" style="1" width="8.67"/>
    <col collapsed="false" customWidth="true" hidden="false" outlineLevel="0" max="787" min="771" style="1" width="6.11"/>
    <col collapsed="false" customWidth="true" hidden="false" outlineLevel="0" max="788" min="788" style="1" width="6.55"/>
    <col collapsed="false" customWidth="true" hidden="false" outlineLevel="0" max="789" min="789" style="1" width="6.11"/>
    <col collapsed="false" customWidth="true" hidden="false" outlineLevel="0" max="791" min="790" style="1" width="6.77"/>
    <col collapsed="false" customWidth="true" hidden="false" outlineLevel="0" max="792" min="792" style="1" width="6.88"/>
    <col collapsed="false" customWidth="true" hidden="false" outlineLevel="0" max="793" min="793" style="1" width="6.33"/>
    <col collapsed="false" customWidth="false" hidden="false" outlineLevel="0" max="1023" min="794" style="1" width="7.78"/>
    <col collapsed="false" customWidth="true" hidden="false" outlineLevel="0" max="1024" min="1024" style="1" width="2.33"/>
    <col collapsed="false" customWidth="true" hidden="false" outlineLevel="0" max="1025" min="1025" style="1" width="5.44"/>
    <col collapsed="false" customWidth="true" hidden="false" outlineLevel="0" max="1026" min="1026" style="1" width="8.67"/>
    <col collapsed="false" customWidth="true" hidden="false" outlineLevel="0" max="1043" min="1027" style="1" width="6.11"/>
    <col collapsed="false" customWidth="true" hidden="false" outlineLevel="0" max="1044" min="1044" style="1" width="6.55"/>
    <col collapsed="false" customWidth="true" hidden="false" outlineLevel="0" max="1045" min="1045" style="1" width="6.11"/>
    <col collapsed="false" customWidth="true" hidden="false" outlineLevel="0" max="1047" min="1046" style="1" width="6.77"/>
    <col collapsed="false" customWidth="true" hidden="false" outlineLevel="0" max="1048" min="1048" style="1" width="6.88"/>
    <col collapsed="false" customWidth="true" hidden="false" outlineLevel="0" max="1049" min="1049" style="1" width="6.33"/>
    <col collapsed="false" customWidth="false" hidden="false" outlineLevel="0" max="1279" min="1050" style="1" width="7.78"/>
    <col collapsed="false" customWidth="true" hidden="false" outlineLevel="0" max="1280" min="1280" style="1" width="2.33"/>
    <col collapsed="false" customWidth="true" hidden="false" outlineLevel="0" max="1281" min="1281" style="1" width="5.44"/>
    <col collapsed="false" customWidth="true" hidden="false" outlineLevel="0" max="1282" min="1282" style="1" width="8.67"/>
    <col collapsed="false" customWidth="true" hidden="false" outlineLevel="0" max="1299" min="1283" style="1" width="6.11"/>
    <col collapsed="false" customWidth="true" hidden="false" outlineLevel="0" max="1300" min="1300" style="1" width="6.55"/>
    <col collapsed="false" customWidth="true" hidden="false" outlineLevel="0" max="1301" min="1301" style="1" width="6.11"/>
    <col collapsed="false" customWidth="true" hidden="false" outlineLevel="0" max="1303" min="1302" style="1" width="6.77"/>
    <col collapsed="false" customWidth="true" hidden="false" outlineLevel="0" max="1304" min="1304" style="1" width="6.88"/>
    <col collapsed="false" customWidth="true" hidden="false" outlineLevel="0" max="1305" min="1305" style="1" width="6.33"/>
    <col collapsed="false" customWidth="false" hidden="false" outlineLevel="0" max="1535" min="1306" style="1" width="7.78"/>
    <col collapsed="false" customWidth="true" hidden="false" outlineLevel="0" max="1536" min="1536" style="1" width="2.33"/>
    <col collapsed="false" customWidth="true" hidden="false" outlineLevel="0" max="1537" min="1537" style="1" width="5.44"/>
    <col collapsed="false" customWidth="true" hidden="false" outlineLevel="0" max="1538" min="1538" style="1" width="8.67"/>
    <col collapsed="false" customWidth="true" hidden="false" outlineLevel="0" max="1555" min="1539" style="1" width="6.11"/>
    <col collapsed="false" customWidth="true" hidden="false" outlineLevel="0" max="1556" min="1556" style="1" width="6.55"/>
    <col collapsed="false" customWidth="true" hidden="false" outlineLevel="0" max="1557" min="1557" style="1" width="6.11"/>
    <col collapsed="false" customWidth="true" hidden="false" outlineLevel="0" max="1559" min="1558" style="1" width="6.77"/>
    <col collapsed="false" customWidth="true" hidden="false" outlineLevel="0" max="1560" min="1560" style="1" width="6.88"/>
    <col collapsed="false" customWidth="true" hidden="false" outlineLevel="0" max="1561" min="1561" style="1" width="6.33"/>
    <col collapsed="false" customWidth="false" hidden="false" outlineLevel="0" max="1791" min="1562" style="1" width="7.78"/>
    <col collapsed="false" customWidth="true" hidden="false" outlineLevel="0" max="1792" min="1792" style="1" width="2.33"/>
    <col collapsed="false" customWidth="true" hidden="false" outlineLevel="0" max="1793" min="1793" style="1" width="5.44"/>
    <col collapsed="false" customWidth="true" hidden="false" outlineLevel="0" max="1794" min="1794" style="1" width="8.67"/>
    <col collapsed="false" customWidth="true" hidden="false" outlineLevel="0" max="1811" min="1795" style="1" width="6.11"/>
    <col collapsed="false" customWidth="true" hidden="false" outlineLevel="0" max="1812" min="1812" style="1" width="6.55"/>
    <col collapsed="false" customWidth="true" hidden="false" outlineLevel="0" max="1813" min="1813" style="1" width="6.11"/>
    <col collapsed="false" customWidth="true" hidden="false" outlineLevel="0" max="1815" min="1814" style="1" width="6.77"/>
    <col collapsed="false" customWidth="true" hidden="false" outlineLevel="0" max="1816" min="1816" style="1" width="6.88"/>
    <col collapsed="false" customWidth="true" hidden="false" outlineLevel="0" max="1817" min="1817" style="1" width="6.33"/>
    <col collapsed="false" customWidth="false" hidden="false" outlineLevel="0" max="2047" min="1818" style="1" width="7.78"/>
    <col collapsed="false" customWidth="true" hidden="false" outlineLevel="0" max="2048" min="2048" style="1" width="2.33"/>
    <col collapsed="false" customWidth="true" hidden="false" outlineLevel="0" max="2049" min="2049" style="1" width="5.44"/>
    <col collapsed="false" customWidth="true" hidden="false" outlineLevel="0" max="2050" min="2050" style="1" width="8.67"/>
    <col collapsed="false" customWidth="true" hidden="false" outlineLevel="0" max="2067" min="2051" style="1" width="6.11"/>
    <col collapsed="false" customWidth="true" hidden="false" outlineLevel="0" max="2068" min="2068" style="1" width="6.55"/>
    <col collapsed="false" customWidth="true" hidden="false" outlineLevel="0" max="2069" min="2069" style="1" width="6.11"/>
    <col collapsed="false" customWidth="true" hidden="false" outlineLevel="0" max="2071" min="2070" style="1" width="6.77"/>
    <col collapsed="false" customWidth="true" hidden="false" outlineLevel="0" max="2072" min="2072" style="1" width="6.88"/>
    <col collapsed="false" customWidth="true" hidden="false" outlineLevel="0" max="2073" min="2073" style="1" width="6.33"/>
    <col collapsed="false" customWidth="false" hidden="false" outlineLevel="0" max="2303" min="2074" style="1" width="7.78"/>
    <col collapsed="false" customWidth="true" hidden="false" outlineLevel="0" max="2304" min="2304" style="1" width="2.33"/>
    <col collapsed="false" customWidth="true" hidden="false" outlineLevel="0" max="2305" min="2305" style="1" width="5.44"/>
    <col collapsed="false" customWidth="true" hidden="false" outlineLevel="0" max="2306" min="2306" style="1" width="8.67"/>
    <col collapsed="false" customWidth="true" hidden="false" outlineLevel="0" max="2323" min="2307" style="1" width="6.11"/>
    <col collapsed="false" customWidth="true" hidden="false" outlineLevel="0" max="2324" min="2324" style="1" width="6.55"/>
    <col collapsed="false" customWidth="true" hidden="false" outlineLevel="0" max="2325" min="2325" style="1" width="6.11"/>
    <col collapsed="false" customWidth="true" hidden="false" outlineLevel="0" max="2327" min="2326" style="1" width="6.77"/>
    <col collapsed="false" customWidth="true" hidden="false" outlineLevel="0" max="2328" min="2328" style="1" width="6.88"/>
    <col collapsed="false" customWidth="true" hidden="false" outlineLevel="0" max="2329" min="2329" style="1" width="6.33"/>
    <col collapsed="false" customWidth="false" hidden="false" outlineLevel="0" max="2559" min="2330" style="1" width="7.78"/>
    <col collapsed="false" customWidth="true" hidden="false" outlineLevel="0" max="2560" min="2560" style="1" width="2.33"/>
    <col collapsed="false" customWidth="true" hidden="false" outlineLevel="0" max="2561" min="2561" style="1" width="5.44"/>
    <col collapsed="false" customWidth="true" hidden="false" outlineLevel="0" max="2562" min="2562" style="1" width="8.67"/>
    <col collapsed="false" customWidth="true" hidden="false" outlineLevel="0" max="2579" min="2563" style="1" width="6.11"/>
    <col collapsed="false" customWidth="true" hidden="false" outlineLevel="0" max="2580" min="2580" style="1" width="6.55"/>
    <col collapsed="false" customWidth="true" hidden="false" outlineLevel="0" max="2581" min="2581" style="1" width="6.11"/>
    <col collapsed="false" customWidth="true" hidden="false" outlineLevel="0" max="2583" min="2582" style="1" width="6.77"/>
    <col collapsed="false" customWidth="true" hidden="false" outlineLevel="0" max="2584" min="2584" style="1" width="6.88"/>
    <col collapsed="false" customWidth="true" hidden="false" outlineLevel="0" max="2585" min="2585" style="1" width="6.33"/>
    <col collapsed="false" customWidth="false" hidden="false" outlineLevel="0" max="2815" min="2586" style="1" width="7.78"/>
    <col collapsed="false" customWidth="true" hidden="false" outlineLevel="0" max="2816" min="2816" style="1" width="2.33"/>
    <col collapsed="false" customWidth="true" hidden="false" outlineLevel="0" max="2817" min="2817" style="1" width="5.44"/>
    <col collapsed="false" customWidth="true" hidden="false" outlineLevel="0" max="2818" min="2818" style="1" width="8.67"/>
    <col collapsed="false" customWidth="true" hidden="false" outlineLevel="0" max="2835" min="2819" style="1" width="6.11"/>
    <col collapsed="false" customWidth="true" hidden="false" outlineLevel="0" max="2836" min="2836" style="1" width="6.55"/>
    <col collapsed="false" customWidth="true" hidden="false" outlineLevel="0" max="2837" min="2837" style="1" width="6.11"/>
    <col collapsed="false" customWidth="true" hidden="false" outlineLevel="0" max="2839" min="2838" style="1" width="6.77"/>
    <col collapsed="false" customWidth="true" hidden="false" outlineLevel="0" max="2840" min="2840" style="1" width="6.88"/>
    <col collapsed="false" customWidth="true" hidden="false" outlineLevel="0" max="2841" min="2841" style="1" width="6.33"/>
    <col collapsed="false" customWidth="false" hidden="false" outlineLevel="0" max="3071" min="2842" style="1" width="7.78"/>
    <col collapsed="false" customWidth="true" hidden="false" outlineLevel="0" max="3072" min="3072" style="1" width="2.33"/>
    <col collapsed="false" customWidth="true" hidden="false" outlineLevel="0" max="3073" min="3073" style="1" width="5.44"/>
    <col collapsed="false" customWidth="true" hidden="false" outlineLevel="0" max="3074" min="3074" style="1" width="8.67"/>
    <col collapsed="false" customWidth="true" hidden="false" outlineLevel="0" max="3091" min="3075" style="1" width="6.11"/>
    <col collapsed="false" customWidth="true" hidden="false" outlineLevel="0" max="3092" min="3092" style="1" width="6.55"/>
    <col collapsed="false" customWidth="true" hidden="false" outlineLevel="0" max="3093" min="3093" style="1" width="6.11"/>
    <col collapsed="false" customWidth="true" hidden="false" outlineLevel="0" max="3095" min="3094" style="1" width="6.77"/>
    <col collapsed="false" customWidth="true" hidden="false" outlineLevel="0" max="3096" min="3096" style="1" width="6.88"/>
    <col collapsed="false" customWidth="true" hidden="false" outlineLevel="0" max="3097" min="3097" style="1" width="6.33"/>
    <col collapsed="false" customWidth="false" hidden="false" outlineLevel="0" max="3327" min="3098" style="1" width="7.78"/>
    <col collapsed="false" customWidth="true" hidden="false" outlineLevel="0" max="3328" min="3328" style="1" width="2.33"/>
    <col collapsed="false" customWidth="true" hidden="false" outlineLevel="0" max="3329" min="3329" style="1" width="5.44"/>
    <col collapsed="false" customWidth="true" hidden="false" outlineLevel="0" max="3330" min="3330" style="1" width="8.67"/>
    <col collapsed="false" customWidth="true" hidden="false" outlineLevel="0" max="3347" min="3331" style="1" width="6.11"/>
    <col collapsed="false" customWidth="true" hidden="false" outlineLevel="0" max="3348" min="3348" style="1" width="6.55"/>
    <col collapsed="false" customWidth="true" hidden="false" outlineLevel="0" max="3349" min="3349" style="1" width="6.11"/>
    <col collapsed="false" customWidth="true" hidden="false" outlineLevel="0" max="3351" min="3350" style="1" width="6.77"/>
    <col collapsed="false" customWidth="true" hidden="false" outlineLevel="0" max="3352" min="3352" style="1" width="6.88"/>
    <col collapsed="false" customWidth="true" hidden="false" outlineLevel="0" max="3353" min="3353" style="1" width="6.33"/>
    <col collapsed="false" customWidth="false" hidden="false" outlineLevel="0" max="3583" min="3354" style="1" width="7.78"/>
    <col collapsed="false" customWidth="true" hidden="false" outlineLevel="0" max="3584" min="3584" style="1" width="2.33"/>
    <col collapsed="false" customWidth="true" hidden="false" outlineLevel="0" max="3585" min="3585" style="1" width="5.44"/>
    <col collapsed="false" customWidth="true" hidden="false" outlineLevel="0" max="3586" min="3586" style="1" width="8.67"/>
    <col collapsed="false" customWidth="true" hidden="false" outlineLevel="0" max="3603" min="3587" style="1" width="6.11"/>
    <col collapsed="false" customWidth="true" hidden="false" outlineLevel="0" max="3604" min="3604" style="1" width="6.55"/>
    <col collapsed="false" customWidth="true" hidden="false" outlineLevel="0" max="3605" min="3605" style="1" width="6.11"/>
    <col collapsed="false" customWidth="true" hidden="false" outlineLevel="0" max="3607" min="3606" style="1" width="6.77"/>
    <col collapsed="false" customWidth="true" hidden="false" outlineLevel="0" max="3608" min="3608" style="1" width="6.88"/>
    <col collapsed="false" customWidth="true" hidden="false" outlineLevel="0" max="3609" min="3609" style="1" width="6.33"/>
    <col collapsed="false" customWidth="false" hidden="false" outlineLevel="0" max="3839" min="3610" style="1" width="7.78"/>
    <col collapsed="false" customWidth="true" hidden="false" outlineLevel="0" max="3840" min="3840" style="1" width="2.33"/>
    <col collapsed="false" customWidth="true" hidden="false" outlineLevel="0" max="3841" min="3841" style="1" width="5.44"/>
    <col collapsed="false" customWidth="true" hidden="false" outlineLevel="0" max="3842" min="3842" style="1" width="8.67"/>
    <col collapsed="false" customWidth="true" hidden="false" outlineLevel="0" max="3859" min="3843" style="1" width="6.11"/>
    <col collapsed="false" customWidth="true" hidden="false" outlineLevel="0" max="3860" min="3860" style="1" width="6.55"/>
    <col collapsed="false" customWidth="true" hidden="false" outlineLevel="0" max="3861" min="3861" style="1" width="6.11"/>
    <col collapsed="false" customWidth="true" hidden="false" outlineLevel="0" max="3863" min="3862" style="1" width="6.77"/>
    <col collapsed="false" customWidth="true" hidden="false" outlineLevel="0" max="3864" min="3864" style="1" width="6.88"/>
    <col collapsed="false" customWidth="true" hidden="false" outlineLevel="0" max="3865" min="3865" style="1" width="6.33"/>
    <col collapsed="false" customWidth="false" hidden="false" outlineLevel="0" max="4095" min="3866" style="1" width="7.78"/>
    <col collapsed="false" customWidth="true" hidden="false" outlineLevel="0" max="4096" min="4096" style="1" width="2.33"/>
    <col collapsed="false" customWidth="true" hidden="false" outlineLevel="0" max="4097" min="4097" style="1" width="5.44"/>
    <col collapsed="false" customWidth="true" hidden="false" outlineLevel="0" max="4098" min="4098" style="1" width="8.67"/>
    <col collapsed="false" customWidth="true" hidden="false" outlineLevel="0" max="4115" min="4099" style="1" width="6.11"/>
    <col collapsed="false" customWidth="true" hidden="false" outlineLevel="0" max="4116" min="4116" style="1" width="6.55"/>
    <col collapsed="false" customWidth="true" hidden="false" outlineLevel="0" max="4117" min="4117" style="1" width="6.11"/>
    <col collapsed="false" customWidth="true" hidden="false" outlineLevel="0" max="4119" min="4118" style="1" width="6.77"/>
    <col collapsed="false" customWidth="true" hidden="false" outlineLevel="0" max="4120" min="4120" style="1" width="6.88"/>
    <col collapsed="false" customWidth="true" hidden="false" outlineLevel="0" max="4121" min="4121" style="1" width="6.33"/>
    <col collapsed="false" customWidth="false" hidden="false" outlineLevel="0" max="4351" min="4122" style="1" width="7.78"/>
    <col collapsed="false" customWidth="true" hidden="false" outlineLevel="0" max="4352" min="4352" style="1" width="2.33"/>
    <col collapsed="false" customWidth="true" hidden="false" outlineLevel="0" max="4353" min="4353" style="1" width="5.44"/>
    <col collapsed="false" customWidth="true" hidden="false" outlineLevel="0" max="4354" min="4354" style="1" width="8.67"/>
    <col collapsed="false" customWidth="true" hidden="false" outlineLevel="0" max="4371" min="4355" style="1" width="6.11"/>
    <col collapsed="false" customWidth="true" hidden="false" outlineLevel="0" max="4372" min="4372" style="1" width="6.55"/>
    <col collapsed="false" customWidth="true" hidden="false" outlineLevel="0" max="4373" min="4373" style="1" width="6.11"/>
    <col collapsed="false" customWidth="true" hidden="false" outlineLevel="0" max="4375" min="4374" style="1" width="6.77"/>
    <col collapsed="false" customWidth="true" hidden="false" outlineLevel="0" max="4376" min="4376" style="1" width="6.88"/>
    <col collapsed="false" customWidth="true" hidden="false" outlineLevel="0" max="4377" min="4377" style="1" width="6.33"/>
    <col collapsed="false" customWidth="false" hidden="false" outlineLevel="0" max="4607" min="4378" style="1" width="7.78"/>
    <col collapsed="false" customWidth="true" hidden="false" outlineLevel="0" max="4608" min="4608" style="1" width="2.33"/>
    <col collapsed="false" customWidth="true" hidden="false" outlineLevel="0" max="4609" min="4609" style="1" width="5.44"/>
    <col collapsed="false" customWidth="true" hidden="false" outlineLevel="0" max="4610" min="4610" style="1" width="8.67"/>
    <col collapsed="false" customWidth="true" hidden="false" outlineLevel="0" max="4627" min="4611" style="1" width="6.11"/>
    <col collapsed="false" customWidth="true" hidden="false" outlineLevel="0" max="4628" min="4628" style="1" width="6.55"/>
    <col collapsed="false" customWidth="true" hidden="false" outlineLevel="0" max="4629" min="4629" style="1" width="6.11"/>
    <col collapsed="false" customWidth="true" hidden="false" outlineLevel="0" max="4631" min="4630" style="1" width="6.77"/>
    <col collapsed="false" customWidth="true" hidden="false" outlineLevel="0" max="4632" min="4632" style="1" width="6.88"/>
    <col collapsed="false" customWidth="true" hidden="false" outlineLevel="0" max="4633" min="4633" style="1" width="6.33"/>
    <col collapsed="false" customWidth="false" hidden="false" outlineLevel="0" max="4863" min="4634" style="1" width="7.78"/>
    <col collapsed="false" customWidth="true" hidden="false" outlineLevel="0" max="4864" min="4864" style="1" width="2.33"/>
    <col collapsed="false" customWidth="true" hidden="false" outlineLevel="0" max="4865" min="4865" style="1" width="5.44"/>
    <col collapsed="false" customWidth="true" hidden="false" outlineLevel="0" max="4866" min="4866" style="1" width="8.67"/>
    <col collapsed="false" customWidth="true" hidden="false" outlineLevel="0" max="4883" min="4867" style="1" width="6.11"/>
    <col collapsed="false" customWidth="true" hidden="false" outlineLevel="0" max="4884" min="4884" style="1" width="6.55"/>
    <col collapsed="false" customWidth="true" hidden="false" outlineLevel="0" max="4885" min="4885" style="1" width="6.11"/>
    <col collapsed="false" customWidth="true" hidden="false" outlineLevel="0" max="4887" min="4886" style="1" width="6.77"/>
    <col collapsed="false" customWidth="true" hidden="false" outlineLevel="0" max="4888" min="4888" style="1" width="6.88"/>
    <col collapsed="false" customWidth="true" hidden="false" outlineLevel="0" max="4889" min="4889" style="1" width="6.33"/>
    <col collapsed="false" customWidth="false" hidden="false" outlineLevel="0" max="5119" min="4890" style="1" width="7.78"/>
    <col collapsed="false" customWidth="true" hidden="false" outlineLevel="0" max="5120" min="5120" style="1" width="2.33"/>
    <col collapsed="false" customWidth="true" hidden="false" outlineLevel="0" max="5121" min="5121" style="1" width="5.44"/>
    <col collapsed="false" customWidth="true" hidden="false" outlineLevel="0" max="5122" min="5122" style="1" width="8.67"/>
    <col collapsed="false" customWidth="true" hidden="false" outlineLevel="0" max="5139" min="5123" style="1" width="6.11"/>
    <col collapsed="false" customWidth="true" hidden="false" outlineLevel="0" max="5140" min="5140" style="1" width="6.55"/>
    <col collapsed="false" customWidth="true" hidden="false" outlineLevel="0" max="5141" min="5141" style="1" width="6.11"/>
    <col collapsed="false" customWidth="true" hidden="false" outlineLevel="0" max="5143" min="5142" style="1" width="6.77"/>
    <col collapsed="false" customWidth="true" hidden="false" outlineLevel="0" max="5144" min="5144" style="1" width="6.88"/>
    <col collapsed="false" customWidth="true" hidden="false" outlineLevel="0" max="5145" min="5145" style="1" width="6.33"/>
    <col collapsed="false" customWidth="false" hidden="false" outlineLevel="0" max="5375" min="5146" style="1" width="7.78"/>
    <col collapsed="false" customWidth="true" hidden="false" outlineLevel="0" max="5376" min="5376" style="1" width="2.33"/>
    <col collapsed="false" customWidth="true" hidden="false" outlineLevel="0" max="5377" min="5377" style="1" width="5.44"/>
    <col collapsed="false" customWidth="true" hidden="false" outlineLevel="0" max="5378" min="5378" style="1" width="8.67"/>
    <col collapsed="false" customWidth="true" hidden="false" outlineLevel="0" max="5395" min="5379" style="1" width="6.11"/>
    <col collapsed="false" customWidth="true" hidden="false" outlineLevel="0" max="5396" min="5396" style="1" width="6.55"/>
    <col collapsed="false" customWidth="true" hidden="false" outlineLevel="0" max="5397" min="5397" style="1" width="6.11"/>
    <col collapsed="false" customWidth="true" hidden="false" outlineLevel="0" max="5399" min="5398" style="1" width="6.77"/>
    <col collapsed="false" customWidth="true" hidden="false" outlineLevel="0" max="5400" min="5400" style="1" width="6.88"/>
    <col collapsed="false" customWidth="true" hidden="false" outlineLevel="0" max="5401" min="5401" style="1" width="6.33"/>
    <col collapsed="false" customWidth="false" hidden="false" outlineLevel="0" max="5631" min="5402" style="1" width="7.78"/>
    <col collapsed="false" customWidth="true" hidden="false" outlineLevel="0" max="5632" min="5632" style="1" width="2.33"/>
    <col collapsed="false" customWidth="true" hidden="false" outlineLevel="0" max="5633" min="5633" style="1" width="5.44"/>
    <col collapsed="false" customWidth="true" hidden="false" outlineLevel="0" max="5634" min="5634" style="1" width="8.67"/>
    <col collapsed="false" customWidth="true" hidden="false" outlineLevel="0" max="5651" min="5635" style="1" width="6.11"/>
    <col collapsed="false" customWidth="true" hidden="false" outlineLevel="0" max="5652" min="5652" style="1" width="6.55"/>
    <col collapsed="false" customWidth="true" hidden="false" outlineLevel="0" max="5653" min="5653" style="1" width="6.11"/>
    <col collapsed="false" customWidth="true" hidden="false" outlineLevel="0" max="5655" min="5654" style="1" width="6.77"/>
    <col collapsed="false" customWidth="true" hidden="false" outlineLevel="0" max="5656" min="5656" style="1" width="6.88"/>
    <col collapsed="false" customWidth="true" hidden="false" outlineLevel="0" max="5657" min="5657" style="1" width="6.33"/>
    <col collapsed="false" customWidth="false" hidden="false" outlineLevel="0" max="5887" min="5658" style="1" width="7.78"/>
    <col collapsed="false" customWidth="true" hidden="false" outlineLevel="0" max="5888" min="5888" style="1" width="2.33"/>
    <col collapsed="false" customWidth="true" hidden="false" outlineLevel="0" max="5889" min="5889" style="1" width="5.44"/>
    <col collapsed="false" customWidth="true" hidden="false" outlineLevel="0" max="5890" min="5890" style="1" width="8.67"/>
    <col collapsed="false" customWidth="true" hidden="false" outlineLevel="0" max="5907" min="5891" style="1" width="6.11"/>
    <col collapsed="false" customWidth="true" hidden="false" outlineLevel="0" max="5908" min="5908" style="1" width="6.55"/>
    <col collapsed="false" customWidth="true" hidden="false" outlineLevel="0" max="5909" min="5909" style="1" width="6.11"/>
    <col collapsed="false" customWidth="true" hidden="false" outlineLevel="0" max="5911" min="5910" style="1" width="6.77"/>
    <col collapsed="false" customWidth="true" hidden="false" outlineLevel="0" max="5912" min="5912" style="1" width="6.88"/>
    <col collapsed="false" customWidth="true" hidden="false" outlineLevel="0" max="5913" min="5913" style="1" width="6.33"/>
    <col collapsed="false" customWidth="false" hidden="false" outlineLevel="0" max="6143" min="5914" style="1" width="7.78"/>
    <col collapsed="false" customWidth="true" hidden="false" outlineLevel="0" max="6144" min="6144" style="1" width="2.33"/>
    <col collapsed="false" customWidth="true" hidden="false" outlineLevel="0" max="6145" min="6145" style="1" width="5.44"/>
    <col collapsed="false" customWidth="true" hidden="false" outlineLevel="0" max="6146" min="6146" style="1" width="8.67"/>
    <col collapsed="false" customWidth="true" hidden="false" outlineLevel="0" max="6163" min="6147" style="1" width="6.11"/>
    <col collapsed="false" customWidth="true" hidden="false" outlineLevel="0" max="6164" min="6164" style="1" width="6.55"/>
    <col collapsed="false" customWidth="true" hidden="false" outlineLevel="0" max="6165" min="6165" style="1" width="6.11"/>
    <col collapsed="false" customWidth="true" hidden="false" outlineLevel="0" max="6167" min="6166" style="1" width="6.77"/>
    <col collapsed="false" customWidth="true" hidden="false" outlineLevel="0" max="6168" min="6168" style="1" width="6.88"/>
    <col collapsed="false" customWidth="true" hidden="false" outlineLevel="0" max="6169" min="6169" style="1" width="6.33"/>
    <col collapsed="false" customWidth="false" hidden="false" outlineLevel="0" max="6399" min="6170" style="1" width="7.78"/>
    <col collapsed="false" customWidth="true" hidden="false" outlineLevel="0" max="6400" min="6400" style="1" width="2.33"/>
    <col collapsed="false" customWidth="true" hidden="false" outlineLevel="0" max="6401" min="6401" style="1" width="5.44"/>
    <col collapsed="false" customWidth="true" hidden="false" outlineLevel="0" max="6402" min="6402" style="1" width="8.67"/>
    <col collapsed="false" customWidth="true" hidden="false" outlineLevel="0" max="6419" min="6403" style="1" width="6.11"/>
    <col collapsed="false" customWidth="true" hidden="false" outlineLevel="0" max="6420" min="6420" style="1" width="6.55"/>
    <col collapsed="false" customWidth="true" hidden="false" outlineLevel="0" max="6421" min="6421" style="1" width="6.11"/>
    <col collapsed="false" customWidth="true" hidden="false" outlineLevel="0" max="6423" min="6422" style="1" width="6.77"/>
    <col collapsed="false" customWidth="true" hidden="false" outlineLevel="0" max="6424" min="6424" style="1" width="6.88"/>
    <col collapsed="false" customWidth="true" hidden="false" outlineLevel="0" max="6425" min="6425" style="1" width="6.33"/>
    <col collapsed="false" customWidth="false" hidden="false" outlineLevel="0" max="6655" min="6426" style="1" width="7.78"/>
    <col collapsed="false" customWidth="true" hidden="false" outlineLevel="0" max="6656" min="6656" style="1" width="2.33"/>
    <col collapsed="false" customWidth="true" hidden="false" outlineLevel="0" max="6657" min="6657" style="1" width="5.44"/>
    <col collapsed="false" customWidth="true" hidden="false" outlineLevel="0" max="6658" min="6658" style="1" width="8.67"/>
    <col collapsed="false" customWidth="true" hidden="false" outlineLevel="0" max="6675" min="6659" style="1" width="6.11"/>
    <col collapsed="false" customWidth="true" hidden="false" outlineLevel="0" max="6676" min="6676" style="1" width="6.55"/>
    <col collapsed="false" customWidth="true" hidden="false" outlineLevel="0" max="6677" min="6677" style="1" width="6.11"/>
    <col collapsed="false" customWidth="true" hidden="false" outlineLevel="0" max="6679" min="6678" style="1" width="6.77"/>
    <col collapsed="false" customWidth="true" hidden="false" outlineLevel="0" max="6680" min="6680" style="1" width="6.88"/>
    <col collapsed="false" customWidth="true" hidden="false" outlineLevel="0" max="6681" min="6681" style="1" width="6.33"/>
    <col collapsed="false" customWidth="false" hidden="false" outlineLevel="0" max="6911" min="6682" style="1" width="7.78"/>
    <col collapsed="false" customWidth="true" hidden="false" outlineLevel="0" max="6912" min="6912" style="1" width="2.33"/>
    <col collapsed="false" customWidth="true" hidden="false" outlineLevel="0" max="6913" min="6913" style="1" width="5.44"/>
    <col collapsed="false" customWidth="true" hidden="false" outlineLevel="0" max="6914" min="6914" style="1" width="8.67"/>
    <col collapsed="false" customWidth="true" hidden="false" outlineLevel="0" max="6931" min="6915" style="1" width="6.11"/>
    <col collapsed="false" customWidth="true" hidden="false" outlineLevel="0" max="6932" min="6932" style="1" width="6.55"/>
    <col collapsed="false" customWidth="true" hidden="false" outlineLevel="0" max="6933" min="6933" style="1" width="6.11"/>
    <col collapsed="false" customWidth="true" hidden="false" outlineLevel="0" max="6935" min="6934" style="1" width="6.77"/>
    <col collapsed="false" customWidth="true" hidden="false" outlineLevel="0" max="6936" min="6936" style="1" width="6.88"/>
    <col collapsed="false" customWidth="true" hidden="false" outlineLevel="0" max="6937" min="6937" style="1" width="6.33"/>
    <col collapsed="false" customWidth="false" hidden="false" outlineLevel="0" max="7167" min="6938" style="1" width="7.78"/>
    <col collapsed="false" customWidth="true" hidden="false" outlineLevel="0" max="7168" min="7168" style="1" width="2.33"/>
    <col collapsed="false" customWidth="true" hidden="false" outlineLevel="0" max="7169" min="7169" style="1" width="5.44"/>
    <col collapsed="false" customWidth="true" hidden="false" outlineLevel="0" max="7170" min="7170" style="1" width="8.67"/>
    <col collapsed="false" customWidth="true" hidden="false" outlineLevel="0" max="7187" min="7171" style="1" width="6.11"/>
    <col collapsed="false" customWidth="true" hidden="false" outlineLevel="0" max="7188" min="7188" style="1" width="6.55"/>
    <col collapsed="false" customWidth="true" hidden="false" outlineLevel="0" max="7189" min="7189" style="1" width="6.11"/>
    <col collapsed="false" customWidth="true" hidden="false" outlineLevel="0" max="7191" min="7190" style="1" width="6.77"/>
    <col collapsed="false" customWidth="true" hidden="false" outlineLevel="0" max="7192" min="7192" style="1" width="6.88"/>
    <col collapsed="false" customWidth="true" hidden="false" outlineLevel="0" max="7193" min="7193" style="1" width="6.33"/>
    <col collapsed="false" customWidth="false" hidden="false" outlineLevel="0" max="7423" min="7194" style="1" width="7.78"/>
    <col collapsed="false" customWidth="true" hidden="false" outlineLevel="0" max="7424" min="7424" style="1" width="2.33"/>
    <col collapsed="false" customWidth="true" hidden="false" outlineLevel="0" max="7425" min="7425" style="1" width="5.44"/>
    <col collapsed="false" customWidth="true" hidden="false" outlineLevel="0" max="7426" min="7426" style="1" width="8.67"/>
    <col collapsed="false" customWidth="true" hidden="false" outlineLevel="0" max="7443" min="7427" style="1" width="6.11"/>
    <col collapsed="false" customWidth="true" hidden="false" outlineLevel="0" max="7444" min="7444" style="1" width="6.55"/>
    <col collapsed="false" customWidth="true" hidden="false" outlineLevel="0" max="7445" min="7445" style="1" width="6.11"/>
    <col collapsed="false" customWidth="true" hidden="false" outlineLevel="0" max="7447" min="7446" style="1" width="6.77"/>
    <col collapsed="false" customWidth="true" hidden="false" outlineLevel="0" max="7448" min="7448" style="1" width="6.88"/>
    <col collapsed="false" customWidth="true" hidden="false" outlineLevel="0" max="7449" min="7449" style="1" width="6.33"/>
    <col collapsed="false" customWidth="false" hidden="false" outlineLevel="0" max="7679" min="7450" style="1" width="7.78"/>
    <col collapsed="false" customWidth="true" hidden="false" outlineLevel="0" max="7680" min="7680" style="1" width="2.33"/>
    <col collapsed="false" customWidth="true" hidden="false" outlineLevel="0" max="7681" min="7681" style="1" width="5.44"/>
    <col collapsed="false" customWidth="true" hidden="false" outlineLevel="0" max="7682" min="7682" style="1" width="8.67"/>
    <col collapsed="false" customWidth="true" hidden="false" outlineLevel="0" max="7699" min="7683" style="1" width="6.11"/>
    <col collapsed="false" customWidth="true" hidden="false" outlineLevel="0" max="7700" min="7700" style="1" width="6.55"/>
    <col collapsed="false" customWidth="true" hidden="false" outlineLevel="0" max="7701" min="7701" style="1" width="6.11"/>
    <col collapsed="false" customWidth="true" hidden="false" outlineLevel="0" max="7703" min="7702" style="1" width="6.77"/>
    <col collapsed="false" customWidth="true" hidden="false" outlineLevel="0" max="7704" min="7704" style="1" width="6.88"/>
    <col collapsed="false" customWidth="true" hidden="false" outlineLevel="0" max="7705" min="7705" style="1" width="6.33"/>
    <col collapsed="false" customWidth="false" hidden="false" outlineLevel="0" max="7935" min="7706" style="1" width="7.78"/>
    <col collapsed="false" customWidth="true" hidden="false" outlineLevel="0" max="7936" min="7936" style="1" width="2.33"/>
    <col collapsed="false" customWidth="true" hidden="false" outlineLevel="0" max="7937" min="7937" style="1" width="5.44"/>
    <col collapsed="false" customWidth="true" hidden="false" outlineLevel="0" max="7938" min="7938" style="1" width="8.67"/>
    <col collapsed="false" customWidth="true" hidden="false" outlineLevel="0" max="7955" min="7939" style="1" width="6.11"/>
    <col collapsed="false" customWidth="true" hidden="false" outlineLevel="0" max="7956" min="7956" style="1" width="6.55"/>
    <col collapsed="false" customWidth="true" hidden="false" outlineLevel="0" max="7957" min="7957" style="1" width="6.11"/>
    <col collapsed="false" customWidth="true" hidden="false" outlineLevel="0" max="7959" min="7958" style="1" width="6.77"/>
    <col collapsed="false" customWidth="true" hidden="false" outlineLevel="0" max="7960" min="7960" style="1" width="6.88"/>
    <col collapsed="false" customWidth="true" hidden="false" outlineLevel="0" max="7961" min="7961" style="1" width="6.33"/>
    <col collapsed="false" customWidth="false" hidden="false" outlineLevel="0" max="8191" min="7962" style="1" width="7.78"/>
    <col collapsed="false" customWidth="true" hidden="false" outlineLevel="0" max="8192" min="8192" style="1" width="2.33"/>
    <col collapsed="false" customWidth="true" hidden="false" outlineLevel="0" max="8193" min="8193" style="1" width="5.44"/>
    <col collapsed="false" customWidth="true" hidden="false" outlineLevel="0" max="8194" min="8194" style="1" width="8.67"/>
    <col collapsed="false" customWidth="true" hidden="false" outlineLevel="0" max="8211" min="8195" style="1" width="6.11"/>
    <col collapsed="false" customWidth="true" hidden="false" outlineLevel="0" max="8212" min="8212" style="1" width="6.55"/>
    <col collapsed="false" customWidth="true" hidden="false" outlineLevel="0" max="8213" min="8213" style="1" width="6.11"/>
    <col collapsed="false" customWidth="true" hidden="false" outlineLevel="0" max="8215" min="8214" style="1" width="6.77"/>
    <col collapsed="false" customWidth="true" hidden="false" outlineLevel="0" max="8216" min="8216" style="1" width="6.88"/>
    <col collapsed="false" customWidth="true" hidden="false" outlineLevel="0" max="8217" min="8217" style="1" width="6.33"/>
    <col collapsed="false" customWidth="false" hidden="false" outlineLevel="0" max="8447" min="8218" style="1" width="7.78"/>
    <col collapsed="false" customWidth="true" hidden="false" outlineLevel="0" max="8448" min="8448" style="1" width="2.33"/>
    <col collapsed="false" customWidth="true" hidden="false" outlineLevel="0" max="8449" min="8449" style="1" width="5.44"/>
    <col collapsed="false" customWidth="true" hidden="false" outlineLevel="0" max="8450" min="8450" style="1" width="8.67"/>
    <col collapsed="false" customWidth="true" hidden="false" outlineLevel="0" max="8467" min="8451" style="1" width="6.11"/>
    <col collapsed="false" customWidth="true" hidden="false" outlineLevel="0" max="8468" min="8468" style="1" width="6.55"/>
    <col collapsed="false" customWidth="true" hidden="false" outlineLevel="0" max="8469" min="8469" style="1" width="6.11"/>
    <col collapsed="false" customWidth="true" hidden="false" outlineLevel="0" max="8471" min="8470" style="1" width="6.77"/>
    <col collapsed="false" customWidth="true" hidden="false" outlineLevel="0" max="8472" min="8472" style="1" width="6.88"/>
    <col collapsed="false" customWidth="true" hidden="false" outlineLevel="0" max="8473" min="8473" style="1" width="6.33"/>
    <col collapsed="false" customWidth="false" hidden="false" outlineLevel="0" max="8703" min="8474" style="1" width="7.78"/>
    <col collapsed="false" customWidth="true" hidden="false" outlineLevel="0" max="8704" min="8704" style="1" width="2.33"/>
    <col collapsed="false" customWidth="true" hidden="false" outlineLevel="0" max="8705" min="8705" style="1" width="5.44"/>
    <col collapsed="false" customWidth="true" hidden="false" outlineLevel="0" max="8706" min="8706" style="1" width="8.67"/>
    <col collapsed="false" customWidth="true" hidden="false" outlineLevel="0" max="8723" min="8707" style="1" width="6.11"/>
    <col collapsed="false" customWidth="true" hidden="false" outlineLevel="0" max="8724" min="8724" style="1" width="6.55"/>
    <col collapsed="false" customWidth="true" hidden="false" outlineLevel="0" max="8725" min="8725" style="1" width="6.11"/>
    <col collapsed="false" customWidth="true" hidden="false" outlineLevel="0" max="8727" min="8726" style="1" width="6.77"/>
    <col collapsed="false" customWidth="true" hidden="false" outlineLevel="0" max="8728" min="8728" style="1" width="6.88"/>
    <col collapsed="false" customWidth="true" hidden="false" outlineLevel="0" max="8729" min="8729" style="1" width="6.33"/>
    <col collapsed="false" customWidth="false" hidden="false" outlineLevel="0" max="8959" min="8730" style="1" width="7.78"/>
    <col collapsed="false" customWidth="true" hidden="false" outlineLevel="0" max="8960" min="8960" style="1" width="2.33"/>
    <col collapsed="false" customWidth="true" hidden="false" outlineLevel="0" max="8961" min="8961" style="1" width="5.44"/>
    <col collapsed="false" customWidth="true" hidden="false" outlineLevel="0" max="8962" min="8962" style="1" width="8.67"/>
    <col collapsed="false" customWidth="true" hidden="false" outlineLevel="0" max="8979" min="8963" style="1" width="6.11"/>
    <col collapsed="false" customWidth="true" hidden="false" outlineLevel="0" max="8980" min="8980" style="1" width="6.55"/>
    <col collapsed="false" customWidth="true" hidden="false" outlineLevel="0" max="8981" min="8981" style="1" width="6.11"/>
    <col collapsed="false" customWidth="true" hidden="false" outlineLevel="0" max="8983" min="8982" style="1" width="6.77"/>
    <col collapsed="false" customWidth="true" hidden="false" outlineLevel="0" max="8984" min="8984" style="1" width="6.88"/>
    <col collapsed="false" customWidth="true" hidden="false" outlineLevel="0" max="8985" min="8985" style="1" width="6.33"/>
    <col collapsed="false" customWidth="false" hidden="false" outlineLevel="0" max="9215" min="8986" style="1" width="7.78"/>
    <col collapsed="false" customWidth="true" hidden="false" outlineLevel="0" max="9216" min="9216" style="1" width="2.33"/>
    <col collapsed="false" customWidth="true" hidden="false" outlineLevel="0" max="9217" min="9217" style="1" width="5.44"/>
    <col collapsed="false" customWidth="true" hidden="false" outlineLevel="0" max="9218" min="9218" style="1" width="8.67"/>
    <col collapsed="false" customWidth="true" hidden="false" outlineLevel="0" max="9235" min="9219" style="1" width="6.11"/>
    <col collapsed="false" customWidth="true" hidden="false" outlineLevel="0" max="9236" min="9236" style="1" width="6.55"/>
    <col collapsed="false" customWidth="true" hidden="false" outlineLevel="0" max="9237" min="9237" style="1" width="6.11"/>
    <col collapsed="false" customWidth="true" hidden="false" outlineLevel="0" max="9239" min="9238" style="1" width="6.77"/>
    <col collapsed="false" customWidth="true" hidden="false" outlineLevel="0" max="9240" min="9240" style="1" width="6.88"/>
    <col collapsed="false" customWidth="true" hidden="false" outlineLevel="0" max="9241" min="9241" style="1" width="6.33"/>
    <col collapsed="false" customWidth="false" hidden="false" outlineLevel="0" max="9471" min="9242" style="1" width="7.78"/>
    <col collapsed="false" customWidth="true" hidden="false" outlineLevel="0" max="9472" min="9472" style="1" width="2.33"/>
    <col collapsed="false" customWidth="true" hidden="false" outlineLevel="0" max="9473" min="9473" style="1" width="5.44"/>
    <col collapsed="false" customWidth="true" hidden="false" outlineLevel="0" max="9474" min="9474" style="1" width="8.67"/>
    <col collapsed="false" customWidth="true" hidden="false" outlineLevel="0" max="9491" min="9475" style="1" width="6.11"/>
    <col collapsed="false" customWidth="true" hidden="false" outlineLevel="0" max="9492" min="9492" style="1" width="6.55"/>
    <col collapsed="false" customWidth="true" hidden="false" outlineLevel="0" max="9493" min="9493" style="1" width="6.11"/>
    <col collapsed="false" customWidth="true" hidden="false" outlineLevel="0" max="9495" min="9494" style="1" width="6.77"/>
    <col collapsed="false" customWidth="true" hidden="false" outlineLevel="0" max="9496" min="9496" style="1" width="6.88"/>
    <col collapsed="false" customWidth="true" hidden="false" outlineLevel="0" max="9497" min="9497" style="1" width="6.33"/>
    <col collapsed="false" customWidth="false" hidden="false" outlineLevel="0" max="9727" min="9498" style="1" width="7.78"/>
    <col collapsed="false" customWidth="true" hidden="false" outlineLevel="0" max="9728" min="9728" style="1" width="2.33"/>
    <col collapsed="false" customWidth="true" hidden="false" outlineLevel="0" max="9729" min="9729" style="1" width="5.44"/>
    <col collapsed="false" customWidth="true" hidden="false" outlineLevel="0" max="9730" min="9730" style="1" width="8.67"/>
    <col collapsed="false" customWidth="true" hidden="false" outlineLevel="0" max="9747" min="9731" style="1" width="6.11"/>
    <col collapsed="false" customWidth="true" hidden="false" outlineLevel="0" max="9748" min="9748" style="1" width="6.55"/>
    <col collapsed="false" customWidth="true" hidden="false" outlineLevel="0" max="9749" min="9749" style="1" width="6.11"/>
    <col collapsed="false" customWidth="true" hidden="false" outlineLevel="0" max="9751" min="9750" style="1" width="6.77"/>
    <col collapsed="false" customWidth="true" hidden="false" outlineLevel="0" max="9752" min="9752" style="1" width="6.88"/>
    <col collapsed="false" customWidth="true" hidden="false" outlineLevel="0" max="9753" min="9753" style="1" width="6.33"/>
    <col collapsed="false" customWidth="false" hidden="false" outlineLevel="0" max="9983" min="9754" style="1" width="7.78"/>
    <col collapsed="false" customWidth="true" hidden="false" outlineLevel="0" max="9984" min="9984" style="1" width="2.33"/>
    <col collapsed="false" customWidth="true" hidden="false" outlineLevel="0" max="9985" min="9985" style="1" width="5.44"/>
    <col collapsed="false" customWidth="true" hidden="false" outlineLevel="0" max="9986" min="9986" style="1" width="8.67"/>
    <col collapsed="false" customWidth="true" hidden="false" outlineLevel="0" max="10003" min="9987" style="1" width="6.11"/>
    <col collapsed="false" customWidth="true" hidden="false" outlineLevel="0" max="10004" min="10004" style="1" width="6.55"/>
    <col collapsed="false" customWidth="true" hidden="false" outlineLevel="0" max="10005" min="10005" style="1" width="6.11"/>
    <col collapsed="false" customWidth="true" hidden="false" outlineLevel="0" max="10007" min="10006" style="1" width="6.77"/>
    <col collapsed="false" customWidth="true" hidden="false" outlineLevel="0" max="10008" min="10008" style="1" width="6.88"/>
    <col collapsed="false" customWidth="true" hidden="false" outlineLevel="0" max="10009" min="10009" style="1" width="6.33"/>
    <col collapsed="false" customWidth="false" hidden="false" outlineLevel="0" max="10239" min="10010" style="1" width="7.78"/>
    <col collapsed="false" customWidth="true" hidden="false" outlineLevel="0" max="10240" min="10240" style="1" width="2.33"/>
    <col collapsed="false" customWidth="true" hidden="false" outlineLevel="0" max="10241" min="10241" style="1" width="5.44"/>
    <col collapsed="false" customWidth="true" hidden="false" outlineLevel="0" max="10242" min="10242" style="1" width="8.67"/>
    <col collapsed="false" customWidth="true" hidden="false" outlineLevel="0" max="10259" min="10243" style="1" width="6.11"/>
    <col collapsed="false" customWidth="true" hidden="false" outlineLevel="0" max="10260" min="10260" style="1" width="6.55"/>
    <col collapsed="false" customWidth="true" hidden="false" outlineLevel="0" max="10261" min="10261" style="1" width="6.11"/>
    <col collapsed="false" customWidth="true" hidden="false" outlineLevel="0" max="10263" min="10262" style="1" width="6.77"/>
    <col collapsed="false" customWidth="true" hidden="false" outlineLevel="0" max="10264" min="10264" style="1" width="6.88"/>
    <col collapsed="false" customWidth="true" hidden="false" outlineLevel="0" max="10265" min="10265" style="1" width="6.33"/>
    <col collapsed="false" customWidth="false" hidden="false" outlineLevel="0" max="10495" min="10266" style="1" width="7.78"/>
    <col collapsed="false" customWidth="true" hidden="false" outlineLevel="0" max="10496" min="10496" style="1" width="2.33"/>
    <col collapsed="false" customWidth="true" hidden="false" outlineLevel="0" max="10497" min="10497" style="1" width="5.44"/>
    <col collapsed="false" customWidth="true" hidden="false" outlineLevel="0" max="10498" min="10498" style="1" width="8.67"/>
    <col collapsed="false" customWidth="true" hidden="false" outlineLevel="0" max="10515" min="10499" style="1" width="6.11"/>
    <col collapsed="false" customWidth="true" hidden="false" outlineLevel="0" max="10516" min="10516" style="1" width="6.55"/>
    <col collapsed="false" customWidth="true" hidden="false" outlineLevel="0" max="10517" min="10517" style="1" width="6.11"/>
    <col collapsed="false" customWidth="true" hidden="false" outlineLevel="0" max="10519" min="10518" style="1" width="6.77"/>
    <col collapsed="false" customWidth="true" hidden="false" outlineLevel="0" max="10520" min="10520" style="1" width="6.88"/>
    <col collapsed="false" customWidth="true" hidden="false" outlineLevel="0" max="10521" min="10521" style="1" width="6.33"/>
    <col collapsed="false" customWidth="false" hidden="false" outlineLevel="0" max="10751" min="10522" style="1" width="7.78"/>
    <col collapsed="false" customWidth="true" hidden="false" outlineLevel="0" max="10752" min="10752" style="1" width="2.33"/>
    <col collapsed="false" customWidth="true" hidden="false" outlineLevel="0" max="10753" min="10753" style="1" width="5.44"/>
    <col collapsed="false" customWidth="true" hidden="false" outlineLevel="0" max="10754" min="10754" style="1" width="8.67"/>
    <col collapsed="false" customWidth="true" hidden="false" outlineLevel="0" max="10771" min="10755" style="1" width="6.11"/>
    <col collapsed="false" customWidth="true" hidden="false" outlineLevel="0" max="10772" min="10772" style="1" width="6.55"/>
    <col collapsed="false" customWidth="true" hidden="false" outlineLevel="0" max="10773" min="10773" style="1" width="6.11"/>
    <col collapsed="false" customWidth="true" hidden="false" outlineLevel="0" max="10775" min="10774" style="1" width="6.77"/>
    <col collapsed="false" customWidth="true" hidden="false" outlineLevel="0" max="10776" min="10776" style="1" width="6.88"/>
    <col collapsed="false" customWidth="true" hidden="false" outlineLevel="0" max="10777" min="10777" style="1" width="6.33"/>
    <col collapsed="false" customWidth="false" hidden="false" outlineLevel="0" max="11007" min="10778" style="1" width="7.78"/>
    <col collapsed="false" customWidth="true" hidden="false" outlineLevel="0" max="11008" min="11008" style="1" width="2.33"/>
    <col collapsed="false" customWidth="true" hidden="false" outlineLevel="0" max="11009" min="11009" style="1" width="5.44"/>
    <col collapsed="false" customWidth="true" hidden="false" outlineLevel="0" max="11010" min="11010" style="1" width="8.67"/>
    <col collapsed="false" customWidth="true" hidden="false" outlineLevel="0" max="11027" min="11011" style="1" width="6.11"/>
    <col collapsed="false" customWidth="true" hidden="false" outlineLevel="0" max="11028" min="11028" style="1" width="6.55"/>
    <col collapsed="false" customWidth="true" hidden="false" outlineLevel="0" max="11029" min="11029" style="1" width="6.11"/>
    <col collapsed="false" customWidth="true" hidden="false" outlineLevel="0" max="11031" min="11030" style="1" width="6.77"/>
    <col collapsed="false" customWidth="true" hidden="false" outlineLevel="0" max="11032" min="11032" style="1" width="6.88"/>
    <col collapsed="false" customWidth="true" hidden="false" outlineLevel="0" max="11033" min="11033" style="1" width="6.33"/>
    <col collapsed="false" customWidth="false" hidden="false" outlineLevel="0" max="11263" min="11034" style="1" width="7.78"/>
    <col collapsed="false" customWidth="true" hidden="false" outlineLevel="0" max="11264" min="11264" style="1" width="2.33"/>
    <col collapsed="false" customWidth="true" hidden="false" outlineLevel="0" max="11265" min="11265" style="1" width="5.44"/>
    <col collapsed="false" customWidth="true" hidden="false" outlineLevel="0" max="11266" min="11266" style="1" width="8.67"/>
    <col collapsed="false" customWidth="true" hidden="false" outlineLevel="0" max="11283" min="11267" style="1" width="6.11"/>
    <col collapsed="false" customWidth="true" hidden="false" outlineLevel="0" max="11284" min="11284" style="1" width="6.55"/>
    <col collapsed="false" customWidth="true" hidden="false" outlineLevel="0" max="11285" min="11285" style="1" width="6.11"/>
    <col collapsed="false" customWidth="true" hidden="false" outlineLevel="0" max="11287" min="11286" style="1" width="6.77"/>
    <col collapsed="false" customWidth="true" hidden="false" outlineLevel="0" max="11288" min="11288" style="1" width="6.88"/>
    <col collapsed="false" customWidth="true" hidden="false" outlineLevel="0" max="11289" min="11289" style="1" width="6.33"/>
    <col collapsed="false" customWidth="false" hidden="false" outlineLevel="0" max="11519" min="11290" style="1" width="7.78"/>
    <col collapsed="false" customWidth="true" hidden="false" outlineLevel="0" max="11520" min="11520" style="1" width="2.33"/>
    <col collapsed="false" customWidth="true" hidden="false" outlineLevel="0" max="11521" min="11521" style="1" width="5.44"/>
    <col collapsed="false" customWidth="true" hidden="false" outlineLevel="0" max="11522" min="11522" style="1" width="8.67"/>
    <col collapsed="false" customWidth="true" hidden="false" outlineLevel="0" max="11539" min="11523" style="1" width="6.11"/>
    <col collapsed="false" customWidth="true" hidden="false" outlineLevel="0" max="11540" min="11540" style="1" width="6.55"/>
    <col collapsed="false" customWidth="true" hidden="false" outlineLevel="0" max="11541" min="11541" style="1" width="6.11"/>
    <col collapsed="false" customWidth="true" hidden="false" outlineLevel="0" max="11543" min="11542" style="1" width="6.77"/>
    <col collapsed="false" customWidth="true" hidden="false" outlineLevel="0" max="11544" min="11544" style="1" width="6.88"/>
    <col collapsed="false" customWidth="true" hidden="false" outlineLevel="0" max="11545" min="11545" style="1" width="6.33"/>
    <col collapsed="false" customWidth="false" hidden="false" outlineLevel="0" max="11775" min="11546" style="1" width="7.78"/>
    <col collapsed="false" customWidth="true" hidden="false" outlineLevel="0" max="11776" min="11776" style="1" width="2.33"/>
    <col collapsed="false" customWidth="true" hidden="false" outlineLevel="0" max="11777" min="11777" style="1" width="5.44"/>
    <col collapsed="false" customWidth="true" hidden="false" outlineLevel="0" max="11778" min="11778" style="1" width="8.67"/>
    <col collapsed="false" customWidth="true" hidden="false" outlineLevel="0" max="11795" min="11779" style="1" width="6.11"/>
    <col collapsed="false" customWidth="true" hidden="false" outlineLevel="0" max="11796" min="11796" style="1" width="6.55"/>
    <col collapsed="false" customWidth="true" hidden="false" outlineLevel="0" max="11797" min="11797" style="1" width="6.11"/>
    <col collapsed="false" customWidth="true" hidden="false" outlineLevel="0" max="11799" min="11798" style="1" width="6.77"/>
    <col collapsed="false" customWidth="true" hidden="false" outlineLevel="0" max="11800" min="11800" style="1" width="6.88"/>
    <col collapsed="false" customWidth="true" hidden="false" outlineLevel="0" max="11801" min="11801" style="1" width="6.33"/>
    <col collapsed="false" customWidth="false" hidden="false" outlineLevel="0" max="12031" min="11802" style="1" width="7.78"/>
    <col collapsed="false" customWidth="true" hidden="false" outlineLevel="0" max="12032" min="12032" style="1" width="2.33"/>
    <col collapsed="false" customWidth="true" hidden="false" outlineLevel="0" max="12033" min="12033" style="1" width="5.44"/>
    <col collapsed="false" customWidth="true" hidden="false" outlineLevel="0" max="12034" min="12034" style="1" width="8.67"/>
    <col collapsed="false" customWidth="true" hidden="false" outlineLevel="0" max="12051" min="12035" style="1" width="6.11"/>
    <col collapsed="false" customWidth="true" hidden="false" outlineLevel="0" max="12052" min="12052" style="1" width="6.55"/>
    <col collapsed="false" customWidth="true" hidden="false" outlineLevel="0" max="12053" min="12053" style="1" width="6.11"/>
    <col collapsed="false" customWidth="true" hidden="false" outlineLevel="0" max="12055" min="12054" style="1" width="6.77"/>
    <col collapsed="false" customWidth="true" hidden="false" outlineLevel="0" max="12056" min="12056" style="1" width="6.88"/>
    <col collapsed="false" customWidth="true" hidden="false" outlineLevel="0" max="12057" min="12057" style="1" width="6.33"/>
    <col collapsed="false" customWidth="false" hidden="false" outlineLevel="0" max="12287" min="12058" style="1" width="7.78"/>
    <col collapsed="false" customWidth="true" hidden="false" outlineLevel="0" max="12288" min="12288" style="1" width="2.33"/>
    <col collapsed="false" customWidth="true" hidden="false" outlineLevel="0" max="12289" min="12289" style="1" width="5.44"/>
    <col collapsed="false" customWidth="true" hidden="false" outlineLevel="0" max="12290" min="12290" style="1" width="8.67"/>
    <col collapsed="false" customWidth="true" hidden="false" outlineLevel="0" max="12307" min="12291" style="1" width="6.11"/>
    <col collapsed="false" customWidth="true" hidden="false" outlineLevel="0" max="12308" min="12308" style="1" width="6.55"/>
    <col collapsed="false" customWidth="true" hidden="false" outlineLevel="0" max="12309" min="12309" style="1" width="6.11"/>
    <col collapsed="false" customWidth="true" hidden="false" outlineLevel="0" max="12311" min="12310" style="1" width="6.77"/>
    <col collapsed="false" customWidth="true" hidden="false" outlineLevel="0" max="12312" min="12312" style="1" width="6.88"/>
    <col collapsed="false" customWidth="true" hidden="false" outlineLevel="0" max="12313" min="12313" style="1" width="6.33"/>
    <col collapsed="false" customWidth="false" hidden="false" outlineLevel="0" max="12543" min="12314" style="1" width="7.78"/>
    <col collapsed="false" customWidth="true" hidden="false" outlineLevel="0" max="12544" min="12544" style="1" width="2.33"/>
    <col collapsed="false" customWidth="true" hidden="false" outlineLevel="0" max="12545" min="12545" style="1" width="5.44"/>
    <col collapsed="false" customWidth="true" hidden="false" outlineLevel="0" max="12546" min="12546" style="1" width="8.67"/>
    <col collapsed="false" customWidth="true" hidden="false" outlineLevel="0" max="12563" min="12547" style="1" width="6.11"/>
    <col collapsed="false" customWidth="true" hidden="false" outlineLevel="0" max="12564" min="12564" style="1" width="6.55"/>
    <col collapsed="false" customWidth="true" hidden="false" outlineLevel="0" max="12565" min="12565" style="1" width="6.11"/>
    <col collapsed="false" customWidth="true" hidden="false" outlineLevel="0" max="12567" min="12566" style="1" width="6.77"/>
    <col collapsed="false" customWidth="true" hidden="false" outlineLevel="0" max="12568" min="12568" style="1" width="6.88"/>
    <col collapsed="false" customWidth="true" hidden="false" outlineLevel="0" max="12569" min="12569" style="1" width="6.33"/>
    <col collapsed="false" customWidth="false" hidden="false" outlineLevel="0" max="12799" min="12570" style="1" width="7.78"/>
    <col collapsed="false" customWidth="true" hidden="false" outlineLevel="0" max="12800" min="12800" style="1" width="2.33"/>
    <col collapsed="false" customWidth="true" hidden="false" outlineLevel="0" max="12801" min="12801" style="1" width="5.44"/>
    <col collapsed="false" customWidth="true" hidden="false" outlineLevel="0" max="12802" min="12802" style="1" width="8.67"/>
    <col collapsed="false" customWidth="true" hidden="false" outlineLevel="0" max="12819" min="12803" style="1" width="6.11"/>
    <col collapsed="false" customWidth="true" hidden="false" outlineLevel="0" max="12820" min="12820" style="1" width="6.55"/>
    <col collapsed="false" customWidth="true" hidden="false" outlineLevel="0" max="12821" min="12821" style="1" width="6.11"/>
    <col collapsed="false" customWidth="true" hidden="false" outlineLevel="0" max="12823" min="12822" style="1" width="6.77"/>
    <col collapsed="false" customWidth="true" hidden="false" outlineLevel="0" max="12824" min="12824" style="1" width="6.88"/>
    <col collapsed="false" customWidth="true" hidden="false" outlineLevel="0" max="12825" min="12825" style="1" width="6.33"/>
    <col collapsed="false" customWidth="false" hidden="false" outlineLevel="0" max="13055" min="12826" style="1" width="7.78"/>
    <col collapsed="false" customWidth="true" hidden="false" outlineLevel="0" max="13056" min="13056" style="1" width="2.33"/>
    <col collapsed="false" customWidth="true" hidden="false" outlineLevel="0" max="13057" min="13057" style="1" width="5.44"/>
    <col collapsed="false" customWidth="true" hidden="false" outlineLevel="0" max="13058" min="13058" style="1" width="8.67"/>
    <col collapsed="false" customWidth="true" hidden="false" outlineLevel="0" max="13075" min="13059" style="1" width="6.11"/>
    <col collapsed="false" customWidth="true" hidden="false" outlineLevel="0" max="13076" min="13076" style="1" width="6.55"/>
    <col collapsed="false" customWidth="true" hidden="false" outlineLevel="0" max="13077" min="13077" style="1" width="6.11"/>
    <col collapsed="false" customWidth="true" hidden="false" outlineLevel="0" max="13079" min="13078" style="1" width="6.77"/>
    <col collapsed="false" customWidth="true" hidden="false" outlineLevel="0" max="13080" min="13080" style="1" width="6.88"/>
    <col collapsed="false" customWidth="true" hidden="false" outlineLevel="0" max="13081" min="13081" style="1" width="6.33"/>
    <col collapsed="false" customWidth="false" hidden="false" outlineLevel="0" max="13311" min="13082" style="1" width="7.78"/>
    <col collapsed="false" customWidth="true" hidden="false" outlineLevel="0" max="13312" min="13312" style="1" width="2.33"/>
    <col collapsed="false" customWidth="true" hidden="false" outlineLevel="0" max="13313" min="13313" style="1" width="5.44"/>
    <col collapsed="false" customWidth="true" hidden="false" outlineLevel="0" max="13314" min="13314" style="1" width="8.67"/>
    <col collapsed="false" customWidth="true" hidden="false" outlineLevel="0" max="13331" min="13315" style="1" width="6.11"/>
    <col collapsed="false" customWidth="true" hidden="false" outlineLevel="0" max="13332" min="13332" style="1" width="6.55"/>
    <col collapsed="false" customWidth="true" hidden="false" outlineLevel="0" max="13333" min="13333" style="1" width="6.11"/>
    <col collapsed="false" customWidth="true" hidden="false" outlineLevel="0" max="13335" min="13334" style="1" width="6.77"/>
    <col collapsed="false" customWidth="true" hidden="false" outlineLevel="0" max="13336" min="13336" style="1" width="6.88"/>
    <col collapsed="false" customWidth="true" hidden="false" outlineLevel="0" max="13337" min="13337" style="1" width="6.33"/>
    <col collapsed="false" customWidth="false" hidden="false" outlineLevel="0" max="13567" min="13338" style="1" width="7.78"/>
    <col collapsed="false" customWidth="true" hidden="false" outlineLevel="0" max="13568" min="13568" style="1" width="2.33"/>
    <col collapsed="false" customWidth="true" hidden="false" outlineLevel="0" max="13569" min="13569" style="1" width="5.44"/>
    <col collapsed="false" customWidth="true" hidden="false" outlineLevel="0" max="13570" min="13570" style="1" width="8.67"/>
    <col collapsed="false" customWidth="true" hidden="false" outlineLevel="0" max="13587" min="13571" style="1" width="6.11"/>
    <col collapsed="false" customWidth="true" hidden="false" outlineLevel="0" max="13588" min="13588" style="1" width="6.55"/>
    <col collapsed="false" customWidth="true" hidden="false" outlineLevel="0" max="13589" min="13589" style="1" width="6.11"/>
    <col collapsed="false" customWidth="true" hidden="false" outlineLevel="0" max="13591" min="13590" style="1" width="6.77"/>
    <col collapsed="false" customWidth="true" hidden="false" outlineLevel="0" max="13592" min="13592" style="1" width="6.88"/>
    <col collapsed="false" customWidth="true" hidden="false" outlineLevel="0" max="13593" min="13593" style="1" width="6.33"/>
    <col collapsed="false" customWidth="false" hidden="false" outlineLevel="0" max="13823" min="13594" style="1" width="7.78"/>
    <col collapsed="false" customWidth="true" hidden="false" outlineLevel="0" max="13824" min="13824" style="1" width="2.33"/>
    <col collapsed="false" customWidth="true" hidden="false" outlineLevel="0" max="13825" min="13825" style="1" width="5.44"/>
    <col collapsed="false" customWidth="true" hidden="false" outlineLevel="0" max="13826" min="13826" style="1" width="8.67"/>
    <col collapsed="false" customWidth="true" hidden="false" outlineLevel="0" max="13843" min="13827" style="1" width="6.11"/>
    <col collapsed="false" customWidth="true" hidden="false" outlineLevel="0" max="13844" min="13844" style="1" width="6.55"/>
    <col collapsed="false" customWidth="true" hidden="false" outlineLevel="0" max="13845" min="13845" style="1" width="6.11"/>
    <col collapsed="false" customWidth="true" hidden="false" outlineLevel="0" max="13847" min="13846" style="1" width="6.77"/>
    <col collapsed="false" customWidth="true" hidden="false" outlineLevel="0" max="13848" min="13848" style="1" width="6.88"/>
    <col collapsed="false" customWidth="true" hidden="false" outlineLevel="0" max="13849" min="13849" style="1" width="6.33"/>
    <col collapsed="false" customWidth="false" hidden="false" outlineLevel="0" max="14079" min="13850" style="1" width="7.78"/>
    <col collapsed="false" customWidth="true" hidden="false" outlineLevel="0" max="14080" min="14080" style="1" width="2.33"/>
    <col collapsed="false" customWidth="true" hidden="false" outlineLevel="0" max="14081" min="14081" style="1" width="5.44"/>
    <col collapsed="false" customWidth="true" hidden="false" outlineLevel="0" max="14082" min="14082" style="1" width="8.67"/>
    <col collapsed="false" customWidth="true" hidden="false" outlineLevel="0" max="14099" min="14083" style="1" width="6.11"/>
    <col collapsed="false" customWidth="true" hidden="false" outlineLevel="0" max="14100" min="14100" style="1" width="6.55"/>
    <col collapsed="false" customWidth="true" hidden="false" outlineLevel="0" max="14101" min="14101" style="1" width="6.11"/>
    <col collapsed="false" customWidth="true" hidden="false" outlineLevel="0" max="14103" min="14102" style="1" width="6.77"/>
    <col collapsed="false" customWidth="true" hidden="false" outlineLevel="0" max="14104" min="14104" style="1" width="6.88"/>
    <col collapsed="false" customWidth="true" hidden="false" outlineLevel="0" max="14105" min="14105" style="1" width="6.33"/>
    <col collapsed="false" customWidth="false" hidden="false" outlineLevel="0" max="14335" min="14106" style="1" width="7.78"/>
    <col collapsed="false" customWidth="true" hidden="false" outlineLevel="0" max="14336" min="14336" style="1" width="2.33"/>
    <col collapsed="false" customWidth="true" hidden="false" outlineLevel="0" max="14337" min="14337" style="1" width="5.44"/>
    <col collapsed="false" customWidth="true" hidden="false" outlineLevel="0" max="14338" min="14338" style="1" width="8.67"/>
    <col collapsed="false" customWidth="true" hidden="false" outlineLevel="0" max="14355" min="14339" style="1" width="6.11"/>
    <col collapsed="false" customWidth="true" hidden="false" outlineLevel="0" max="14356" min="14356" style="1" width="6.55"/>
    <col collapsed="false" customWidth="true" hidden="false" outlineLevel="0" max="14357" min="14357" style="1" width="6.11"/>
    <col collapsed="false" customWidth="true" hidden="false" outlineLevel="0" max="14359" min="14358" style="1" width="6.77"/>
    <col collapsed="false" customWidth="true" hidden="false" outlineLevel="0" max="14360" min="14360" style="1" width="6.88"/>
    <col collapsed="false" customWidth="true" hidden="false" outlineLevel="0" max="14361" min="14361" style="1" width="6.33"/>
    <col collapsed="false" customWidth="false" hidden="false" outlineLevel="0" max="14591" min="14362" style="1" width="7.78"/>
    <col collapsed="false" customWidth="true" hidden="false" outlineLevel="0" max="14592" min="14592" style="1" width="2.33"/>
    <col collapsed="false" customWidth="true" hidden="false" outlineLevel="0" max="14593" min="14593" style="1" width="5.44"/>
    <col collapsed="false" customWidth="true" hidden="false" outlineLevel="0" max="14594" min="14594" style="1" width="8.67"/>
    <col collapsed="false" customWidth="true" hidden="false" outlineLevel="0" max="14611" min="14595" style="1" width="6.11"/>
    <col collapsed="false" customWidth="true" hidden="false" outlineLevel="0" max="14612" min="14612" style="1" width="6.55"/>
    <col collapsed="false" customWidth="true" hidden="false" outlineLevel="0" max="14613" min="14613" style="1" width="6.11"/>
    <col collapsed="false" customWidth="true" hidden="false" outlineLevel="0" max="14615" min="14614" style="1" width="6.77"/>
    <col collapsed="false" customWidth="true" hidden="false" outlineLevel="0" max="14616" min="14616" style="1" width="6.88"/>
    <col collapsed="false" customWidth="true" hidden="false" outlineLevel="0" max="14617" min="14617" style="1" width="6.33"/>
    <col collapsed="false" customWidth="false" hidden="false" outlineLevel="0" max="14847" min="14618" style="1" width="7.78"/>
    <col collapsed="false" customWidth="true" hidden="false" outlineLevel="0" max="14848" min="14848" style="1" width="2.33"/>
    <col collapsed="false" customWidth="true" hidden="false" outlineLevel="0" max="14849" min="14849" style="1" width="5.44"/>
    <col collapsed="false" customWidth="true" hidden="false" outlineLevel="0" max="14850" min="14850" style="1" width="8.67"/>
    <col collapsed="false" customWidth="true" hidden="false" outlineLevel="0" max="14867" min="14851" style="1" width="6.11"/>
    <col collapsed="false" customWidth="true" hidden="false" outlineLevel="0" max="14868" min="14868" style="1" width="6.55"/>
    <col collapsed="false" customWidth="true" hidden="false" outlineLevel="0" max="14869" min="14869" style="1" width="6.11"/>
    <col collapsed="false" customWidth="true" hidden="false" outlineLevel="0" max="14871" min="14870" style="1" width="6.77"/>
    <col collapsed="false" customWidth="true" hidden="false" outlineLevel="0" max="14872" min="14872" style="1" width="6.88"/>
    <col collapsed="false" customWidth="true" hidden="false" outlineLevel="0" max="14873" min="14873" style="1" width="6.33"/>
    <col collapsed="false" customWidth="false" hidden="false" outlineLevel="0" max="15103" min="14874" style="1" width="7.78"/>
    <col collapsed="false" customWidth="true" hidden="false" outlineLevel="0" max="15104" min="15104" style="1" width="2.33"/>
    <col collapsed="false" customWidth="true" hidden="false" outlineLevel="0" max="15105" min="15105" style="1" width="5.44"/>
    <col collapsed="false" customWidth="true" hidden="false" outlineLevel="0" max="15106" min="15106" style="1" width="8.67"/>
    <col collapsed="false" customWidth="true" hidden="false" outlineLevel="0" max="15123" min="15107" style="1" width="6.11"/>
    <col collapsed="false" customWidth="true" hidden="false" outlineLevel="0" max="15124" min="15124" style="1" width="6.55"/>
    <col collapsed="false" customWidth="true" hidden="false" outlineLevel="0" max="15125" min="15125" style="1" width="6.11"/>
    <col collapsed="false" customWidth="true" hidden="false" outlineLevel="0" max="15127" min="15126" style="1" width="6.77"/>
    <col collapsed="false" customWidth="true" hidden="false" outlineLevel="0" max="15128" min="15128" style="1" width="6.88"/>
    <col collapsed="false" customWidth="true" hidden="false" outlineLevel="0" max="15129" min="15129" style="1" width="6.33"/>
    <col collapsed="false" customWidth="false" hidden="false" outlineLevel="0" max="15359" min="15130" style="1" width="7.78"/>
    <col collapsed="false" customWidth="true" hidden="false" outlineLevel="0" max="15360" min="15360" style="1" width="2.33"/>
    <col collapsed="false" customWidth="true" hidden="false" outlineLevel="0" max="15361" min="15361" style="1" width="5.44"/>
    <col collapsed="false" customWidth="true" hidden="false" outlineLevel="0" max="15362" min="15362" style="1" width="8.67"/>
    <col collapsed="false" customWidth="true" hidden="false" outlineLevel="0" max="15379" min="15363" style="1" width="6.11"/>
    <col collapsed="false" customWidth="true" hidden="false" outlineLevel="0" max="15380" min="15380" style="1" width="6.55"/>
    <col collapsed="false" customWidth="true" hidden="false" outlineLevel="0" max="15381" min="15381" style="1" width="6.11"/>
    <col collapsed="false" customWidth="true" hidden="false" outlineLevel="0" max="15383" min="15382" style="1" width="6.77"/>
    <col collapsed="false" customWidth="true" hidden="false" outlineLevel="0" max="15384" min="15384" style="1" width="6.88"/>
    <col collapsed="false" customWidth="true" hidden="false" outlineLevel="0" max="15385" min="15385" style="1" width="6.33"/>
    <col collapsed="false" customWidth="false" hidden="false" outlineLevel="0" max="15615" min="15386" style="1" width="7.78"/>
    <col collapsed="false" customWidth="true" hidden="false" outlineLevel="0" max="15616" min="15616" style="1" width="2.33"/>
    <col collapsed="false" customWidth="true" hidden="false" outlineLevel="0" max="15617" min="15617" style="1" width="5.44"/>
    <col collapsed="false" customWidth="true" hidden="false" outlineLevel="0" max="15618" min="15618" style="1" width="8.67"/>
    <col collapsed="false" customWidth="true" hidden="false" outlineLevel="0" max="15635" min="15619" style="1" width="6.11"/>
    <col collapsed="false" customWidth="true" hidden="false" outlineLevel="0" max="15636" min="15636" style="1" width="6.55"/>
    <col collapsed="false" customWidth="true" hidden="false" outlineLevel="0" max="15637" min="15637" style="1" width="6.11"/>
    <col collapsed="false" customWidth="true" hidden="false" outlineLevel="0" max="15639" min="15638" style="1" width="6.77"/>
    <col collapsed="false" customWidth="true" hidden="false" outlineLevel="0" max="15640" min="15640" style="1" width="6.88"/>
    <col collapsed="false" customWidth="true" hidden="false" outlineLevel="0" max="15641" min="15641" style="1" width="6.33"/>
    <col collapsed="false" customWidth="false" hidden="false" outlineLevel="0" max="15871" min="15642" style="1" width="7.78"/>
    <col collapsed="false" customWidth="true" hidden="false" outlineLevel="0" max="15872" min="15872" style="1" width="2.33"/>
    <col collapsed="false" customWidth="true" hidden="false" outlineLevel="0" max="15873" min="15873" style="1" width="5.44"/>
    <col collapsed="false" customWidth="true" hidden="false" outlineLevel="0" max="15874" min="15874" style="1" width="8.67"/>
    <col collapsed="false" customWidth="true" hidden="false" outlineLevel="0" max="15891" min="15875" style="1" width="6.11"/>
    <col collapsed="false" customWidth="true" hidden="false" outlineLevel="0" max="15892" min="15892" style="1" width="6.55"/>
    <col collapsed="false" customWidth="true" hidden="false" outlineLevel="0" max="15893" min="15893" style="1" width="6.11"/>
    <col collapsed="false" customWidth="true" hidden="false" outlineLevel="0" max="15895" min="15894" style="1" width="6.77"/>
    <col collapsed="false" customWidth="true" hidden="false" outlineLevel="0" max="15896" min="15896" style="1" width="6.88"/>
    <col collapsed="false" customWidth="true" hidden="false" outlineLevel="0" max="15897" min="15897" style="1" width="6.33"/>
    <col collapsed="false" customWidth="false" hidden="false" outlineLevel="0" max="16127" min="15898" style="1" width="7.78"/>
    <col collapsed="false" customWidth="true" hidden="false" outlineLevel="0" max="16128" min="16128" style="1" width="2.33"/>
    <col collapsed="false" customWidth="true" hidden="false" outlineLevel="0" max="16129" min="16129" style="1" width="5.44"/>
    <col collapsed="false" customWidth="true" hidden="false" outlineLevel="0" max="16130" min="16130" style="1" width="8.67"/>
    <col collapsed="false" customWidth="true" hidden="false" outlineLevel="0" max="16147" min="16131" style="1" width="6.11"/>
    <col collapsed="false" customWidth="true" hidden="false" outlineLevel="0" max="16148" min="16148" style="1" width="6.55"/>
    <col collapsed="false" customWidth="true" hidden="false" outlineLevel="0" max="16149" min="16149" style="1" width="6.11"/>
    <col collapsed="false" customWidth="true" hidden="false" outlineLevel="0" max="16151" min="16150" style="1" width="6.77"/>
    <col collapsed="false" customWidth="true" hidden="false" outlineLevel="0" max="16152" min="16152" style="1" width="6.88"/>
    <col collapsed="false" customWidth="true" hidden="false" outlineLevel="0" max="16153" min="16153" style="1" width="6.33"/>
    <col collapsed="false" customWidth="false" hidden="false" outlineLevel="0" max="16384" min="16154" style="1" width="7.78"/>
  </cols>
  <sheetData>
    <row r="1" s="2" customFormat="true" ht="20.25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12.75" hidden="false" customHeight="false" outlineLevel="0" collapsed="false">
      <c r="B2" s="4"/>
      <c r="C2" s="4"/>
      <c r="G2" s="5"/>
      <c r="J2" s="5"/>
      <c r="K2" s="5"/>
      <c r="L2" s="5"/>
      <c r="M2" s="5"/>
      <c r="N2" s="5"/>
      <c r="O2" s="5"/>
      <c r="S2" s="5"/>
      <c r="T2" s="5"/>
      <c r="U2" s="5" t="s">
        <v>1</v>
      </c>
    </row>
    <row r="3" customFormat="false" ht="12.75" hidden="false" customHeight="false" outlineLevel="0" collapsed="false">
      <c r="G3" s="5"/>
      <c r="J3" s="5"/>
      <c r="K3" s="5"/>
      <c r="L3" s="5"/>
      <c r="M3" s="5"/>
      <c r="N3" s="5"/>
      <c r="O3" s="5"/>
      <c r="S3" s="5"/>
      <c r="T3" s="5"/>
      <c r="U3" s="5" t="s">
        <v>2</v>
      </c>
    </row>
    <row r="4" customFormat="false" ht="12.75" hidden="false" customHeight="false" outlineLevel="0" collapsed="false">
      <c r="B4" s="6"/>
      <c r="D4" s="7"/>
      <c r="G4" s="5"/>
      <c r="J4" s="5"/>
      <c r="K4" s="5"/>
      <c r="L4" s="5"/>
      <c r="M4" s="5"/>
      <c r="N4" s="5"/>
      <c r="O4" s="5"/>
      <c r="S4" s="5"/>
      <c r="T4" s="5"/>
      <c r="U4" s="5" t="s">
        <v>3</v>
      </c>
    </row>
    <row r="5" customFormat="false" ht="18" hidden="false" customHeight="true" outlineLevel="0" collapsed="false">
      <c r="B5" s="8" t="s">
        <v>4</v>
      </c>
      <c r="C5" s="8"/>
      <c r="D5" s="9" t="s">
        <v>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customFormat="false" ht="19.5" hidden="false" customHeight="true" outlineLevel="0" collapsed="false">
      <c r="B6" s="8"/>
      <c r="C6" s="8"/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  <c r="P6" s="10" t="s">
        <v>18</v>
      </c>
      <c r="Q6" s="10" t="s">
        <v>19</v>
      </c>
      <c r="R6" s="10" t="s">
        <v>20</v>
      </c>
      <c r="S6" s="10" t="s">
        <v>21</v>
      </c>
      <c r="T6" s="10" t="s">
        <v>22</v>
      </c>
      <c r="U6" s="11" t="s">
        <v>23</v>
      </c>
    </row>
    <row r="7" customFormat="false" ht="19.5" hidden="false" customHeight="true" outlineLevel="0" collapsed="false">
      <c r="B7" s="12"/>
      <c r="C7" s="13" t="s">
        <v>24</v>
      </c>
      <c r="D7" s="14" t="n">
        <v>1240</v>
      </c>
      <c r="E7" s="14" t="n">
        <v>1256</v>
      </c>
      <c r="F7" s="14" t="n">
        <v>1262</v>
      </c>
      <c r="G7" s="14" t="n">
        <v>1264</v>
      </c>
      <c r="H7" s="14" t="n">
        <v>1263</v>
      </c>
      <c r="I7" s="14" t="n">
        <v>1254</v>
      </c>
      <c r="J7" s="14" t="n">
        <v>1276</v>
      </c>
      <c r="K7" s="14" t="n">
        <v>1297</v>
      </c>
      <c r="L7" s="14" t="n">
        <v>1265</v>
      </c>
      <c r="M7" s="14" t="n">
        <v>1334</v>
      </c>
      <c r="N7" s="14" t="n">
        <v>1450</v>
      </c>
      <c r="O7" s="14" t="n">
        <v>1436</v>
      </c>
      <c r="P7" s="14" t="n">
        <v>1405</v>
      </c>
      <c r="Q7" s="14" t="n">
        <v>1435</v>
      </c>
      <c r="R7" s="14" t="n">
        <v>1459</v>
      </c>
      <c r="S7" s="14" t="n">
        <v>1445</v>
      </c>
      <c r="T7" s="14" t="n">
        <v>1453</v>
      </c>
      <c r="U7" s="15" t="n">
        <v>1412</v>
      </c>
    </row>
    <row r="8" customFormat="false" ht="19.5" hidden="false" customHeight="true" outlineLevel="0" collapsed="false">
      <c r="B8" s="16" t="s">
        <v>25</v>
      </c>
      <c r="C8" s="13" t="s">
        <v>26</v>
      </c>
      <c r="D8" s="14" t="n">
        <v>2452</v>
      </c>
      <c r="E8" s="14" t="n">
        <v>2605</v>
      </c>
      <c r="F8" s="14" t="n">
        <v>2386</v>
      </c>
      <c r="G8" s="14" t="n">
        <v>2282</v>
      </c>
      <c r="H8" s="14" t="n">
        <v>2339</v>
      </c>
      <c r="I8" s="14" t="n">
        <v>2060</v>
      </c>
      <c r="J8" s="14" t="n">
        <v>2464</v>
      </c>
      <c r="K8" s="14" t="n">
        <v>2560</v>
      </c>
      <c r="L8" s="14" t="n">
        <v>1833</v>
      </c>
      <c r="M8" s="14" t="n">
        <v>2757</v>
      </c>
      <c r="N8" s="14" t="n">
        <v>2837</v>
      </c>
      <c r="O8" s="14" t="n">
        <v>2892</v>
      </c>
      <c r="P8" s="14" t="n">
        <v>2494</v>
      </c>
      <c r="Q8" s="14" t="n">
        <v>2999</v>
      </c>
      <c r="R8" s="14" t="n">
        <v>3302</v>
      </c>
      <c r="S8" s="14" t="n">
        <v>3409</v>
      </c>
      <c r="T8" s="14" t="n">
        <v>3498</v>
      </c>
      <c r="U8" s="15" t="n">
        <v>3223</v>
      </c>
    </row>
    <row r="9" customFormat="false" ht="19.5" hidden="false" customHeight="true" outlineLevel="0" collapsed="false">
      <c r="B9" s="17"/>
      <c r="C9" s="18" t="s">
        <v>27</v>
      </c>
      <c r="D9" s="19" t="n">
        <v>1.98</v>
      </c>
      <c r="E9" s="14" t="n">
        <v>2.07</v>
      </c>
      <c r="F9" s="14" t="n">
        <v>1.98</v>
      </c>
      <c r="G9" s="14" t="n">
        <v>1.81</v>
      </c>
      <c r="H9" s="14" t="n">
        <v>1.85</v>
      </c>
      <c r="I9" s="19" t="n">
        <v>1.64</v>
      </c>
      <c r="J9" s="19" t="n">
        <v>1.93</v>
      </c>
      <c r="K9" s="19" t="n">
        <v>1.97</v>
      </c>
      <c r="L9" s="19" t="n">
        <v>1.45</v>
      </c>
      <c r="M9" s="19" t="n">
        <v>2.07</v>
      </c>
      <c r="N9" s="19" t="n">
        <v>1.96</v>
      </c>
      <c r="O9" s="19" t="n">
        <v>2.01</v>
      </c>
      <c r="P9" s="19" t="n">
        <v>1.78</v>
      </c>
      <c r="Q9" s="19" t="n">
        <v>2.09</v>
      </c>
      <c r="R9" s="19" t="n">
        <v>2.26</v>
      </c>
      <c r="S9" s="19" t="n">
        <v>2.36</v>
      </c>
      <c r="T9" s="19" t="n">
        <v>2.41</v>
      </c>
      <c r="U9" s="20" t="n">
        <v>2.28</v>
      </c>
    </row>
    <row r="10" customFormat="false" ht="19.5" hidden="false" customHeight="true" outlineLevel="0" collapsed="false">
      <c r="B10" s="21"/>
      <c r="C10" s="22" t="s">
        <v>24</v>
      </c>
      <c r="D10" s="14" t="n">
        <v>458</v>
      </c>
      <c r="E10" s="14" t="n">
        <v>453</v>
      </c>
      <c r="F10" s="14" t="n">
        <v>445</v>
      </c>
      <c r="G10" s="14" t="n">
        <v>445</v>
      </c>
      <c r="H10" s="14" t="n">
        <v>454</v>
      </c>
      <c r="I10" s="14" t="n">
        <v>432</v>
      </c>
      <c r="J10" s="14" t="n">
        <v>457</v>
      </c>
      <c r="K10" s="14" t="n">
        <v>475</v>
      </c>
      <c r="L10" s="14" t="n">
        <v>511</v>
      </c>
      <c r="M10" s="14" t="n">
        <v>504</v>
      </c>
      <c r="N10" s="14" t="n">
        <v>734</v>
      </c>
      <c r="O10" s="14" t="n">
        <v>735</v>
      </c>
      <c r="P10" s="14" t="n">
        <v>739</v>
      </c>
      <c r="Q10" s="14" t="n">
        <v>750</v>
      </c>
      <c r="R10" s="14" t="n">
        <v>755</v>
      </c>
      <c r="S10" s="14" t="n">
        <v>751</v>
      </c>
      <c r="T10" s="14" t="n">
        <v>756</v>
      </c>
      <c r="U10" s="15" t="n">
        <v>754</v>
      </c>
    </row>
    <row r="11" customFormat="false" ht="19.5" hidden="false" customHeight="true" outlineLevel="0" collapsed="false">
      <c r="B11" s="16" t="s">
        <v>28</v>
      </c>
      <c r="C11" s="22" t="s">
        <v>26</v>
      </c>
      <c r="D11" s="23" t="n">
        <v>827</v>
      </c>
      <c r="E11" s="14" t="n">
        <v>748</v>
      </c>
      <c r="F11" s="14" t="n">
        <v>797</v>
      </c>
      <c r="G11" s="14" t="n">
        <v>740</v>
      </c>
      <c r="H11" s="14" t="n">
        <v>743</v>
      </c>
      <c r="I11" s="14" t="n">
        <v>576</v>
      </c>
      <c r="J11" s="14" t="n">
        <v>743</v>
      </c>
      <c r="K11" s="14" t="n">
        <v>752</v>
      </c>
      <c r="L11" s="14" t="n">
        <v>718</v>
      </c>
      <c r="M11" s="23" t="n">
        <v>761</v>
      </c>
      <c r="N11" s="23" t="n">
        <v>1024</v>
      </c>
      <c r="O11" s="23" t="n">
        <v>1039</v>
      </c>
      <c r="P11" s="23" t="n">
        <v>1021</v>
      </c>
      <c r="Q11" s="14" t="n">
        <v>1003</v>
      </c>
      <c r="R11" s="14" t="n">
        <v>1122</v>
      </c>
      <c r="S11" s="14" t="n">
        <v>1201</v>
      </c>
      <c r="T11" s="14" t="n">
        <v>1228</v>
      </c>
      <c r="U11" s="15" t="n">
        <v>1205</v>
      </c>
    </row>
    <row r="12" customFormat="false" ht="19.5" hidden="false" customHeight="true" outlineLevel="0" collapsed="false">
      <c r="B12" s="17"/>
      <c r="C12" s="24" t="s">
        <v>27</v>
      </c>
      <c r="D12" s="19" t="n">
        <v>1.81</v>
      </c>
      <c r="E12" s="14" t="n">
        <v>1.65</v>
      </c>
      <c r="F12" s="14" t="n">
        <v>1.79</v>
      </c>
      <c r="G12" s="14" t="n">
        <v>1.66</v>
      </c>
      <c r="H12" s="14" t="n">
        <v>1.64</v>
      </c>
      <c r="I12" s="19" t="n">
        <v>1.33</v>
      </c>
      <c r="J12" s="19" t="n">
        <v>1.63</v>
      </c>
      <c r="K12" s="19" t="n">
        <v>1.58</v>
      </c>
      <c r="L12" s="19" t="n">
        <v>1.41</v>
      </c>
      <c r="M12" s="19" t="n">
        <v>1.51</v>
      </c>
      <c r="N12" s="19" t="n">
        <v>1.4</v>
      </c>
      <c r="O12" s="19" t="n">
        <v>1.41</v>
      </c>
      <c r="P12" s="19" t="n">
        <v>1.38</v>
      </c>
      <c r="Q12" s="19" t="n">
        <v>1.34</v>
      </c>
      <c r="R12" s="19" t="n">
        <v>1.49</v>
      </c>
      <c r="S12" s="19" t="n">
        <v>1.6</v>
      </c>
      <c r="T12" s="19" t="n">
        <v>1.63</v>
      </c>
      <c r="U12" s="20" t="n">
        <v>1.59</v>
      </c>
    </row>
    <row r="13" customFormat="false" ht="19.5" hidden="false" customHeight="true" outlineLevel="0" collapsed="false">
      <c r="B13" s="16"/>
      <c r="C13" s="22" t="s">
        <v>24</v>
      </c>
      <c r="D13" s="14" t="n">
        <v>291</v>
      </c>
      <c r="E13" s="14" t="n">
        <v>329</v>
      </c>
      <c r="F13" s="14" t="n">
        <v>348</v>
      </c>
      <c r="G13" s="14" t="n">
        <v>367</v>
      </c>
      <c r="H13" s="14" t="n">
        <v>356</v>
      </c>
      <c r="I13" s="14" t="n">
        <v>367</v>
      </c>
      <c r="J13" s="14" t="n">
        <v>392</v>
      </c>
      <c r="K13" s="14" t="n">
        <v>400</v>
      </c>
      <c r="L13" s="14" t="n">
        <v>484</v>
      </c>
      <c r="M13" s="14" t="n">
        <v>472</v>
      </c>
      <c r="N13" s="14" t="n">
        <v>545</v>
      </c>
      <c r="O13" s="14" t="n">
        <v>555</v>
      </c>
      <c r="P13" s="14" t="n">
        <v>576</v>
      </c>
      <c r="Q13" s="14" t="n">
        <v>594</v>
      </c>
      <c r="R13" s="14" t="n">
        <v>599</v>
      </c>
      <c r="S13" s="14" t="n">
        <v>604</v>
      </c>
      <c r="T13" s="14" t="n">
        <v>593</v>
      </c>
      <c r="U13" s="15" t="n">
        <v>571</v>
      </c>
    </row>
    <row r="14" customFormat="false" ht="19.5" hidden="false" customHeight="true" outlineLevel="0" collapsed="false">
      <c r="B14" s="16" t="s">
        <v>29</v>
      </c>
      <c r="C14" s="22" t="s">
        <v>26</v>
      </c>
      <c r="D14" s="23" t="n">
        <v>331</v>
      </c>
      <c r="E14" s="14" t="n">
        <v>387</v>
      </c>
      <c r="F14" s="14" t="n">
        <v>362</v>
      </c>
      <c r="G14" s="14" t="n">
        <v>411</v>
      </c>
      <c r="H14" s="14" t="n">
        <v>415</v>
      </c>
      <c r="I14" s="14" t="n">
        <v>440</v>
      </c>
      <c r="J14" s="14" t="n">
        <v>477</v>
      </c>
      <c r="K14" s="14" t="n">
        <v>526</v>
      </c>
      <c r="L14" s="14" t="n">
        <v>657</v>
      </c>
      <c r="M14" s="23" t="n">
        <v>634</v>
      </c>
      <c r="N14" s="23" t="n">
        <v>625</v>
      </c>
      <c r="O14" s="23" t="n">
        <v>677</v>
      </c>
      <c r="P14" s="23" t="n">
        <v>743</v>
      </c>
      <c r="Q14" s="14" t="n">
        <v>740</v>
      </c>
      <c r="R14" s="14" t="n">
        <v>828</v>
      </c>
      <c r="S14" s="14" t="n">
        <v>855</v>
      </c>
      <c r="T14" s="14" t="n">
        <v>836</v>
      </c>
      <c r="U14" s="15" t="n">
        <v>779</v>
      </c>
    </row>
    <row r="15" customFormat="false" ht="19.5" hidden="false" customHeight="true" outlineLevel="0" collapsed="false">
      <c r="B15" s="17"/>
      <c r="C15" s="24" t="s">
        <v>27</v>
      </c>
      <c r="D15" s="19" t="n">
        <v>1.14</v>
      </c>
      <c r="E15" s="14" t="n">
        <v>1.18</v>
      </c>
      <c r="F15" s="14" t="n">
        <v>1.04</v>
      </c>
      <c r="G15" s="14" t="n">
        <v>1.12</v>
      </c>
      <c r="H15" s="14" t="n">
        <v>1.17</v>
      </c>
      <c r="I15" s="19" t="n">
        <v>1.2</v>
      </c>
      <c r="J15" s="19" t="n">
        <v>1.22</v>
      </c>
      <c r="K15" s="19" t="n">
        <v>1.32</v>
      </c>
      <c r="L15" s="19" t="n">
        <v>1.36</v>
      </c>
      <c r="M15" s="19" t="n">
        <v>1.34</v>
      </c>
      <c r="N15" s="19" t="n">
        <v>1.15</v>
      </c>
      <c r="O15" s="19" t="n">
        <v>1.22</v>
      </c>
      <c r="P15" s="19" t="n">
        <v>1.29</v>
      </c>
      <c r="Q15" s="19" t="n">
        <v>1.25</v>
      </c>
      <c r="R15" s="19" t="n">
        <v>1.38</v>
      </c>
      <c r="S15" s="19" t="n">
        <v>1.42</v>
      </c>
      <c r="T15" s="19" t="n">
        <v>1.41</v>
      </c>
      <c r="U15" s="20" t="n">
        <v>1.36</v>
      </c>
    </row>
    <row r="16" customFormat="false" ht="19.5" hidden="false" customHeight="true" outlineLevel="0" collapsed="false">
      <c r="B16" s="16"/>
      <c r="C16" s="22" t="s">
        <v>24</v>
      </c>
      <c r="D16" s="14" t="n">
        <v>28</v>
      </c>
      <c r="E16" s="14" t="n">
        <v>26</v>
      </c>
      <c r="F16" s="14" t="n">
        <v>25</v>
      </c>
      <c r="G16" s="14" t="n">
        <v>26</v>
      </c>
      <c r="H16" s="14" t="n">
        <v>26</v>
      </c>
      <c r="I16" s="14" t="n">
        <v>26</v>
      </c>
      <c r="J16" s="14" t="n">
        <v>27</v>
      </c>
      <c r="K16" s="14" t="n">
        <v>27</v>
      </c>
      <c r="L16" s="14" t="n">
        <v>24</v>
      </c>
      <c r="M16" s="14" t="n">
        <v>25</v>
      </c>
      <c r="N16" s="14" t="n">
        <v>29</v>
      </c>
      <c r="O16" s="14" t="n">
        <v>30</v>
      </c>
      <c r="P16" s="14" t="n">
        <v>30</v>
      </c>
      <c r="Q16" s="14" t="n">
        <v>30</v>
      </c>
      <c r="R16" s="14" t="n">
        <v>29</v>
      </c>
      <c r="S16" s="14" t="n">
        <v>30</v>
      </c>
      <c r="T16" s="14" t="n">
        <v>30</v>
      </c>
      <c r="U16" s="15" t="n">
        <v>30</v>
      </c>
    </row>
    <row r="17" customFormat="false" ht="19.5" hidden="false" customHeight="true" outlineLevel="0" collapsed="false">
      <c r="B17" s="16" t="s">
        <v>30</v>
      </c>
      <c r="C17" s="22" t="s">
        <v>26</v>
      </c>
      <c r="D17" s="14" t="n">
        <v>26</v>
      </c>
      <c r="E17" s="14" t="n">
        <v>25</v>
      </c>
      <c r="F17" s="14" t="n">
        <v>21</v>
      </c>
      <c r="G17" s="14" t="n">
        <v>22</v>
      </c>
      <c r="H17" s="14" t="n">
        <v>23</v>
      </c>
      <c r="I17" s="14" t="n">
        <v>23</v>
      </c>
      <c r="J17" s="14" t="n">
        <v>23</v>
      </c>
      <c r="K17" s="14" t="n">
        <v>23</v>
      </c>
      <c r="L17" s="14" t="n">
        <v>21</v>
      </c>
      <c r="M17" s="14" t="n">
        <v>22</v>
      </c>
      <c r="N17" s="14" t="n">
        <v>25</v>
      </c>
      <c r="O17" s="14" t="n">
        <v>24</v>
      </c>
      <c r="P17" s="14" t="n">
        <v>26</v>
      </c>
      <c r="Q17" s="14" t="n">
        <v>25</v>
      </c>
      <c r="R17" s="14" t="n">
        <v>27</v>
      </c>
      <c r="S17" s="14" t="n">
        <v>27</v>
      </c>
      <c r="T17" s="14" t="n">
        <v>28</v>
      </c>
      <c r="U17" s="15" t="n">
        <v>28</v>
      </c>
    </row>
    <row r="18" customFormat="false" ht="19.5" hidden="false" customHeight="true" outlineLevel="0" collapsed="false">
      <c r="B18" s="17"/>
      <c r="C18" s="24" t="s">
        <v>27</v>
      </c>
      <c r="D18" s="19" t="n">
        <v>0.93</v>
      </c>
      <c r="E18" s="25" t="n">
        <v>0.96</v>
      </c>
      <c r="F18" s="19" t="n">
        <v>0.84</v>
      </c>
      <c r="G18" s="19" t="n">
        <v>0.88</v>
      </c>
      <c r="H18" s="19" t="n">
        <v>0.88</v>
      </c>
      <c r="I18" s="19" t="n">
        <v>0.88</v>
      </c>
      <c r="J18" s="19" t="n">
        <v>0.85</v>
      </c>
      <c r="K18" s="19" t="n">
        <v>0.85</v>
      </c>
      <c r="L18" s="19" t="n">
        <v>0.88</v>
      </c>
      <c r="M18" s="19" t="n">
        <v>0.88</v>
      </c>
      <c r="N18" s="19" t="n">
        <v>0.86</v>
      </c>
      <c r="O18" s="19" t="n">
        <v>0.8</v>
      </c>
      <c r="P18" s="19" t="n">
        <v>0.86</v>
      </c>
      <c r="Q18" s="19" t="n">
        <v>0.84</v>
      </c>
      <c r="R18" s="19" t="n">
        <v>0.92</v>
      </c>
      <c r="S18" s="19" t="n">
        <v>0.93</v>
      </c>
      <c r="T18" s="19" t="n">
        <v>0.94</v>
      </c>
      <c r="U18" s="20" t="n">
        <v>0.93</v>
      </c>
    </row>
    <row r="19" customFormat="false" ht="19.5" hidden="false" customHeight="true" outlineLevel="0" collapsed="false">
      <c r="B19" s="16"/>
      <c r="C19" s="22" t="s">
        <v>24</v>
      </c>
      <c r="D19" s="14" t="n">
        <v>125</v>
      </c>
      <c r="E19" s="14" t="n">
        <v>126</v>
      </c>
      <c r="F19" s="14" t="n">
        <v>122</v>
      </c>
      <c r="G19" s="14" t="n">
        <v>121</v>
      </c>
      <c r="H19" s="14" t="n">
        <v>123</v>
      </c>
      <c r="I19" s="14" t="n">
        <v>123</v>
      </c>
      <c r="J19" s="14" t="n">
        <v>122</v>
      </c>
      <c r="K19" s="14" t="n">
        <v>122</v>
      </c>
      <c r="L19" s="14" t="n">
        <v>129</v>
      </c>
      <c r="M19" s="14" t="n">
        <v>124</v>
      </c>
      <c r="N19" s="14" t="n">
        <v>194</v>
      </c>
      <c r="O19" s="14" t="n">
        <v>194</v>
      </c>
      <c r="P19" s="14" t="n">
        <v>196</v>
      </c>
      <c r="Q19" s="14" t="n">
        <v>196</v>
      </c>
      <c r="R19" s="14" t="n">
        <v>196</v>
      </c>
      <c r="S19" s="14" t="n">
        <v>198</v>
      </c>
      <c r="T19" s="14" t="n">
        <v>198</v>
      </c>
      <c r="U19" s="15" t="n">
        <v>198</v>
      </c>
    </row>
    <row r="20" customFormat="false" ht="19.5" hidden="false" customHeight="true" outlineLevel="0" collapsed="false">
      <c r="B20" s="16" t="s">
        <v>31</v>
      </c>
      <c r="C20" s="22" t="s">
        <v>26</v>
      </c>
      <c r="D20" s="14" t="n">
        <v>142</v>
      </c>
      <c r="E20" s="14" t="n">
        <v>143</v>
      </c>
      <c r="F20" s="14" t="n">
        <v>138</v>
      </c>
      <c r="G20" s="14" t="n">
        <v>130</v>
      </c>
      <c r="H20" s="14" t="n">
        <v>133</v>
      </c>
      <c r="I20" s="14" t="n">
        <v>119</v>
      </c>
      <c r="J20" s="14" t="n">
        <v>122</v>
      </c>
      <c r="K20" s="14" t="n">
        <v>122</v>
      </c>
      <c r="L20" s="14" t="n">
        <v>121</v>
      </c>
      <c r="M20" s="14" t="n">
        <v>115</v>
      </c>
      <c r="N20" s="14" t="n">
        <v>179</v>
      </c>
      <c r="O20" s="14" t="n">
        <v>179</v>
      </c>
      <c r="P20" s="14" t="n">
        <v>178</v>
      </c>
      <c r="Q20" s="14" t="n">
        <v>181</v>
      </c>
      <c r="R20" s="14" t="n">
        <v>196</v>
      </c>
      <c r="S20" s="14" t="n">
        <v>230</v>
      </c>
      <c r="T20" s="14" t="n">
        <v>231</v>
      </c>
      <c r="U20" s="15" t="n">
        <v>229</v>
      </c>
    </row>
    <row r="21" customFormat="false" ht="19.5" hidden="false" customHeight="true" outlineLevel="0" collapsed="false">
      <c r="B21" s="26"/>
      <c r="C21" s="24" t="s">
        <v>27</v>
      </c>
      <c r="D21" s="19" t="n">
        <v>1.14</v>
      </c>
      <c r="E21" s="14" t="n">
        <v>1.14</v>
      </c>
      <c r="F21" s="14" t="n">
        <v>1.13</v>
      </c>
      <c r="G21" s="14" t="n">
        <v>1.07</v>
      </c>
      <c r="H21" s="14" t="n">
        <v>1.08</v>
      </c>
      <c r="I21" s="19" t="n">
        <v>0.97</v>
      </c>
      <c r="J21" s="19" t="n">
        <v>1</v>
      </c>
      <c r="K21" s="19" t="n">
        <v>1</v>
      </c>
      <c r="L21" s="19" t="n">
        <v>0.94</v>
      </c>
      <c r="M21" s="19" t="n">
        <v>0.93</v>
      </c>
      <c r="N21" s="19" t="n">
        <v>0.92</v>
      </c>
      <c r="O21" s="19" t="n">
        <v>0.92</v>
      </c>
      <c r="P21" s="19" t="n">
        <v>0.91</v>
      </c>
      <c r="Q21" s="19" t="n">
        <v>0.92</v>
      </c>
      <c r="R21" s="19" t="n">
        <v>1</v>
      </c>
      <c r="S21" s="19" t="n">
        <v>1.16</v>
      </c>
      <c r="T21" s="19" t="n">
        <v>1.17</v>
      </c>
      <c r="U21" s="20" t="n">
        <v>1.15</v>
      </c>
    </row>
    <row r="22" customFormat="false" ht="19.5" hidden="false" customHeight="true" outlineLevel="0" collapsed="false">
      <c r="B22" s="27" t="s">
        <v>32</v>
      </c>
      <c r="C22" s="27"/>
      <c r="D22" s="28" t="n">
        <f aca="false">D19+D16+D13+D10+D7</f>
        <v>2142</v>
      </c>
      <c r="E22" s="28" t="n">
        <f aca="false">E19+E16+E13+E10+E7</f>
        <v>2190</v>
      </c>
      <c r="F22" s="28" t="n">
        <f aca="false">F19+F16+F13+F10+F7</f>
        <v>2202</v>
      </c>
      <c r="G22" s="28" t="n">
        <f aca="false">G19+G16+G13+G10+G7</f>
        <v>2223</v>
      </c>
      <c r="H22" s="28" t="n">
        <f aca="false">H19+H16+H13+H10+H7</f>
        <v>2222</v>
      </c>
      <c r="I22" s="28" t="n">
        <f aca="false">I7+I10+I13+I16+I19</f>
        <v>2202</v>
      </c>
      <c r="J22" s="28" t="n">
        <f aca="false">J7+J10+J13+J16+J19</f>
        <v>2274</v>
      </c>
      <c r="K22" s="28" t="n">
        <v>3383</v>
      </c>
      <c r="L22" s="28" t="n">
        <f aca="false">L7+L10+L13+L16+L19</f>
        <v>2413</v>
      </c>
      <c r="M22" s="28" t="n">
        <f aca="false">M7+M10+M13+M16+M19</f>
        <v>2459</v>
      </c>
      <c r="N22" s="28" t="n">
        <f aca="false">N7+N10+N13+N16+N19</f>
        <v>2952</v>
      </c>
      <c r="O22" s="28" t="n">
        <f aca="false">O7+O10+O13+O16+O19</f>
        <v>2950</v>
      </c>
      <c r="P22" s="28" t="n">
        <f aca="false">P19+P16+P13+P10+P7</f>
        <v>2946</v>
      </c>
      <c r="Q22" s="28" t="n">
        <f aca="false">Q19+Q16+Q13+Q10+Q7</f>
        <v>3005</v>
      </c>
      <c r="R22" s="28" t="n">
        <f aca="false">R19+R16+R13+R10+R7</f>
        <v>3038</v>
      </c>
      <c r="S22" s="28" t="n">
        <f aca="false">S19+S16+S13+S10+S7</f>
        <v>3028</v>
      </c>
      <c r="T22" s="28" t="n">
        <f aca="false">T19+T16+T13+T10+T7</f>
        <v>3030</v>
      </c>
      <c r="U22" s="29" t="n">
        <f aca="false">U19+U16+U13+U10+U7</f>
        <v>2965</v>
      </c>
    </row>
    <row r="23" customFormat="false" ht="19.5" hidden="false" customHeight="true" outlineLevel="0" collapsed="false">
      <c r="B23" s="30" t="s">
        <v>33</v>
      </c>
      <c r="C23" s="30"/>
      <c r="D23" s="31" t="n">
        <f aca="false">D8+D11+D14+D17+D20</f>
        <v>3778</v>
      </c>
      <c r="E23" s="31" t="n">
        <f aca="false">E8+E11+E14+E17+E20</f>
        <v>3908</v>
      </c>
      <c r="F23" s="31" t="n">
        <f aca="false">F8+F11+F14+F17+F20</f>
        <v>3704</v>
      </c>
      <c r="G23" s="31" t="n">
        <f aca="false">G8+G11+G14+G17+G20</f>
        <v>3585</v>
      </c>
      <c r="H23" s="31" t="n">
        <f aca="false">H8+H11+H14+H17+H20</f>
        <v>3653</v>
      </c>
      <c r="I23" s="32" t="n">
        <f aca="false">I8+I11+I14+I17+I20</f>
        <v>3218</v>
      </c>
      <c r="J23" s="32" t="n">
        <f aca="false">J8+J11+J14+J17+J20</f>
        <v>3829</v>
      </c>
      <c r="K23" s="32" t="n">
        <f aca="false">K8+K11+K14+K17+K20</f>
        <v>3983</v>
      </c>
      <c r="L23" s="32" t="n">
        <f aca="false">L8+L11+L14+L17+L20</f>
        <v>3350</v>
      </c>
      <c r="M23" s="31" t="n">
        <f aca="false">M8+M11+M14+M17+M20</f>
        <v>4289</v>
      </c>
      <c r="N23" s="31" t="n">
        <f aca="false">N8+N11+N14+N17+N20</f>
        <v>4690</v>
      </c>
      <c r="O23" s="31" t="n">
        <f aca="false">O8+O11+O14+O17+O20</f>
        <v>4811</v>
      </c>
      <c r="P23" s="31" t="n">
        <f aca="false">P8+P11+P14+P17+P20</f>
        <v>4462</v>
      </c>
      <c r="Q23" s="31" t="n">
        <f aca="false">Q8+Q11+Q14+Q17+Q20</f>
        <v>4948</v>
      </c>
      <c r="R23" s="31" t="n">
        <f aca="false">R8+R11+R14+R17+R20</f>
        <v>5475</v>
      </c>
      <c r="S23" s="31" t="n">
        <f aca="false">S8+S11+S14+S17+S20</f>
        <v>5722</v>
      </c>
      <c r="T23" s="31" t="n">
        <f aca="false">T8+T11+T14+T17+T20</f>
        <v>5821</v>
      </c>
      <c r="U23" s="33" t="n">
        <f aca="false">U8+U11+U14+U17+U20</f>
        <v>5464</v>
      </c>
    </row>
    <row r="24" customFormat="false" ht="19.5" hidden="false" customHeight="true" outlineLevel="0" collapsed="false">
      <c r="B24" s="34"/>
      <c r="C24" s="34"/>
      <c r="D24" s="35"/>
      <c r="E24" s="35"/>
      <c r="F24" s="35"/>
      <c r="G24" s="35"/>
      <c r="H24" s="35"/>
      <c r="I24" s="34"/>
      <c r="J24" s="34"/>
      <c r="K24" s="34"/>
      <c r="L24" s="34"/>
      <c r="M24" s="35"/>
      <c r="N24" s="35"/>
      <c r="O24" s="35"/>
      <c r="P24" s="35"/>
      <c r="Q24" s="35"/>
      <c r="R24" s="35"/>
      <c r="S24" s="35"/>
      <c r="T24" s="35"/>
      <c r="U24" s="36" t="s">
        <v>34</v>
      </c>
    </row>
    <row r="25" customFormat="false" ht="12.75" hidden="false" customHeight="false" outlineLevel="0" collapsed="false">
      <c r="B25" s="34"/>
      <c r="C25" s="34"/>
      <c r="D25" s="35"/>
      <c r="E25" s="35"/>
      <c r="F25" s="35"/>
      <c r="G25" s="35"/>
      <c r="H25" s="35"/>
      <c r="I25" s="34"/>
      <c r="J25" s="34"/>
      <c r="K25" s="34"/>
      <c r="L25" s="34"/>
      <c r="M25" s="35"/>
      <c r="N25" s="35"/>
      <c r="O25" s="35"/>
      <c r="P25" s="35"/>
      <c r="Q25" s="35"/>
      <c r="R25" s="35"/>
      <c r="S25" s="35"/>
      <c r="T25" s="35"/>
      <c r="U25" s="36"/>
    </row>
    <row r="26" customFormat="false" ht="19.5" hidden="false" customHeight="true" outlineLevel="0" collapsed="false">
      <c r="B26" s="37" t="s">
        <v>4</v>
      </c>
      <c r="C26" s="37"/>
      <c r="D26" s="38" t="s">
        <v>5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customFormat="false" ht="19.5" hidden="false" customHeight="true" outlineLevel="0" collapsed="false">
      <c r="B27" s="37"/>
      <c r="C27" s="37"/>
      <c r="D27" s="39" t="s">
        <v>35</v>
      </c>
      <c r="E27" s="40" t="s">
        <v>36</v>
      </c>
      <c r="F27" s="40" t="s">
        <v>37</v>
      </c>
      <c r="G27" s="40" t="s">
        <v>38</v>
      </c>
      <c r="H27" s="40" t="s">
        <v>39</v>
      </c>
      <c r="I27" s="40" t="s">
        <v>40</v>
      </c>
      <c r="J27" s="40" t="s">
        <v>41</v>
      </c>
      <c r="K27" s="40" t="s">
        <v>42</v>
      </c>
      <c r="L27" s="40" t="s">
        <v>43</v>
      </c>
      <c r="M27" s="40" t="s">
        <v>44</v>
      </c>
      <c r="N27" s="40" t="s">
        <v>45</v>
      </c>
      <c r="O27" s="40" t="s">
        <v>46</v>
      </c>
      <c r="P27" s="40" t="s">
        <v>47</v>
      </c>
      <c r="Q27" s="40" t="s">
        <v>48</v>
      </c>
      <c r="R27" s="40" t="s">
        <v>49</v>
      </c>
      <c r="S27" s="40" t="s">
        <v>50</v>
      </c>
      <c r="T27" s="40" t="s">
        <v>51</v>
      </c>
      <c r="U27" s="40" t="s">
        <v>52</v>
      </c>
      <c r="V27" s="40" t="s">
        <v>53</v>
      </c>
      <c r="W27" s="40" t="s">
        <v>54</v>
      </c>
      <c r="X27" s="40" t="s">
        <v>55</v>
      </c>
      <c r="Y27" s="14" t="s">
        <v>56</v>
      </c>
    </row>
    <row r="28" customFormat="false" ht="19.5" hidden="false" customHeight="true" outlineLevel="0" collapsed="false">
      <c r="B28" s="41" t="s">
        <v>25</v>
      </c>
      <c r="C28" s="42" t="s">
        <v>24</v>
      </c>
      <c r="D28" s="43" t="n">
        <v>1324</v>
      </c>
      <c r="E28" s="14" t="n">
        <v>1454</v>
      </c>
      <c r="F28" s="14" t="n">
        <v>1421</v>
      </c>
      <c r="G28" s="14" t="n">
        <v>1497</v>
      </c>
      <c r="H28" s="14" t="n">
        <v>1505</v>
      </c>
      <c r="I28" s="14" t="n">
        <v>1506</v>
      </c>
      <c r="J28" s="14" t="n">
        <v>1514</v>
      </c>
      <c r="K28" s="14" t="n">
        <v>1551</v>
      </c>
      <c r="L28" s="14" t="n">
        <v>1560</v>
      </c>
      <c r="M28" s="14" t="n">
        <v>1517</v>
      </c>
      <c r="N28" s="14" t="n">
        <v>1545</v>
      </c>
      <c r="O28" s="14" t="n">
        <v>1559</v>
      </c>
      <c r="P28" s="14" t="n">
        <v>1542</v>
      </c>
      <c r="Q28" s="14" t="n">
        <v>1549</v>
      </c>
      <c r="R28" s="14" t="n">
        <v>1440</v>
      </c>
      <c r="S28" s="14" t="n">
        <v>1549</v>
      </c>
      <c r="T28" s="14" t="n">
        <v>1556</v>
      </c>
      <c r="U28" s="14" t="n">
        <v>1481</v>
      </c>
      <c r="V28" s="14" t="n">
        <v>1496</v>
      </c>
      <c r="W28" s="44" t="n">
        <v>1531</v>
      </c>
      <c r="X28" s="44" t="n">
        <v>1420</v>
      </c>
      <c r="Y28" s="45" t="n">
        <v>1486.951</v>
      </c>
    </row>
    <row r="29" customFormat="false" ht="19.5" hidden="false" customHeight="true" outlineLevel="0" collapsed="false">
      <c r="B29" s="41"/>
      <c r="C29" s="42" t="s">
        <v>26</v>
      </c>
      <c r="D29" s="43" t="n">
        <v>2712</v>
      </c>
      <c r="E29" s="14" t="n">
        <v>3493</v>
      </c>
      <c r="F29" s="14" t="n">
        <v>2928</v>
      </c>
      <c r="G29" s="14" t="n">
        <v>3579</v>
      </c>
      <c r="H29" s="14" t="n">
        <v>3699</v>
      </c>
      <c r="I29" s="14" t="n">
        <v>3641</v>
      </c>
      <c r="J29" s="14" t="n">
        <v>3710</v>
      </c>
      <c r="K29" s="14" t="n">
        <v>4030</v>
      </c>
      <c r="L29" s="14" t="n">
        <v>4216</v>
      </c>
      <c r="M29" s="14" t="n">
        <v>4165</v>
      </c>
      <c r="N29" s="14" t="n">
        <v>4132</v>
      </c>
      <c r="O29" s="14" t="n">
        <v>4456</v>
      </c>
      <c r="P29" s="14" t="n">
        <v>4290</v>
      </c>
      <c r="Q29" s="14" t="n">
        <v>4209</v>
      </c>
      <c r="R29" s="14" t="n">
        <v>3681</v>
      </c>
      <c r="S29" s="14" t="n">
        <v>4299</v>
      </c>
      <c r="T29" s="14" t="n">
        <v>4524</v>
      </c>
      <c r="U29" s="14" t="n">
        <v>4024</v>
      </c>
      <c r="V29" s="14" t="n">
        <v>4460</v>
      </c>
      <c r="W29" s="44" t="n">
        <v>5072</v>
      </c>
      <c r="X29" s="44" t="n">
        <v>4504</v>
      </c>
      <c r="Y29" s="45" t="n">
        <v>5047.047</v>
      </c>
    </row>
    <row r="30" customFormat="false" ht="19.5" hidden="false" customHeight="true" outlineLevel="0" collapsed="false">
      <c r="B30" s="41"/>
      <c r="C30" s="42" t="s">
        <v>27</v>
      </c>
      <c r="D30" s="46" t="n">
        <v>2.05</v>
      </c>
      <c r="E30" s="19" t="n">
        <v>2.4</v>
      </c>
      <c r="F30" s="19" t="n">
        <v>2.06</v>
      </c>
      <c r="G30" s="19" t="n">
        <v>2.39</v>
      </c>
      <c r="H30" s="19" t="n">
        <v>2.46</v>
      </c>
      <c r="I30" s="19" t="n">
        <v>2.42</v>
      </c>
      <c r="J30" s="19" t="n">
        <v>2.45</v>
      </c>
      <c r="K30" s="19" t="n">
        <v>2.59</v>
      </c>
      <c r="L30" s="19" t="n">
        <v>2.7</v>
      </c>
      <c r="M30" s="19" t="n">
        <v>2.73</v>
      </c>
      <c r="N30" s="19" t="n">
        <v>2.67</v>
      </c>
      <c r="O30" s="14" t="n">
        <v>2.86</v>
      </c>
      <c r="P30" s="14" t="n">
        <v>2.78</v>
      </c>
      <c r="Q30" s="14" t="n">
        <v>2.72</v>
      </c>
      <c r="R30" s="14" t="n">
        <v>2.56</v>
      </c>
      <c r="S30" s="19" t="n">
        <v>2.77</v>
      </c>
      <c r="T30" s="19" t="n">
        <v>2.9</v>
      </c>
      <c r="U30" s="19" t="n">
        <v>2.72</v>
      </c>
      <c r="V30" s="19" t="n">
        <v>2.98</v>
      </c>
      <c r="W30" s="44" t="n">
        <v>3.31</v>
      </c>
      <c r="X30" s="44" t="n">
        <v>3.17</v>
      </c>
      <c r="Y30" s="44" t="n">
        <v>3.39</v>
      </c>
    </row>
    <row r="31" customFormat="false" ht="19.5" hidden="false" customHeight="true" outlineLevel="0" collapsed="false">
      <c r="B31" s="41" t="s">
        <v>28</v>
      </c>
      <c r="C31" s="42" t="s">
        <v>24</v>
      </c>
      <c r="D31" s="43" t="n">
        <v>775</v>
      </c>
      <c r="E31" s="14" t="n">
        <v>757</v>
      </c>
      <c r="F31" s="14" t="n">
        <v>771</v>
      </c>
      <c r="G31" s="14" t="n">
        <v>792</v>
      </c>
      <c r="H31" s="14" t="n">
        <v>793</v>
      </c>
      <c r="I31" s="14" t="n">
        <v>799</v>
      </c>
      <c r="J31" s="14" t="n">
        <v>802</v>
      </c>
      <c r="K31" s="14" t="n">
        <v>819</v>
      </c>
      <c r="L31" s="14" t="n">
        <v>825</v>
      </c>
      <c r="M31" s="14" t="n">
        <v>826</v>
      </c>
      <c r="N31" s="14" t="n">
        <v>836</v>
      </c>
      <c r="O31" s="14" t="n">
        <v>834</v>
      </c>
      <c r="P31" s="14" t="n">
        <v>850</v>
      </c>
      <c r="Q31" s="14" t="n">
        <v>851</v>
      </c>
      <c r="R31" s="14" t="n">
        <v>870</v>
      </c>
      <c r="S31" s="14" t="n">
        <v>870</v>
      </c>
      <c r="T31" s="14" t="n">
        <v>875</v>
      </c>
      <c r="U31" s="14" t="n">
        <v>876</v>
      </c>
      <c r="V31" s="14" t="n">
        <v>906</v>
      </c>
      <c r="W31" s="44" t="n">
        <v>871</v>
      </c>
      <c r="X31" s="44" t="n">
        <v>849</v>
      </c>
      <c r="Y31" s="44" t="n">
        <v>928.76</v>
      </c>
    </row>
    <row r="32" customFormat="false" ht="19.5" hidden="false" customHeight="true" outlineLevel="0" collapsed="false">
      <c r="B32" s="41"/>
      <c r="C32" s="42" t="s">
        <v>26</v>
      </c>
      <c r="D32" s="43" t="n">
        <v>1291</v>
      </c>
      <c r="E32" s="14" t="n">
        <v>1210</v>
      </c>
      <c r="F32" s="14" t="n">
        <v>1273</v>
      </c>
      <c r="G32" s="14" t="n">
        <v>1331</v>
      </c>
      <c r="H32" s="14" t="n">
        <v>1312</v>
      </c>
      <c r="I32" s="23" t="n">
        <v>1367</v>
      </c>
      <c r="J32" s="23" t="n">
        <v>1346</v>
      </c>
      <c r="K32" s="23" t="n">
        <v>1445</v>
      </c>
      <c r="L32" s="23" t="n">
        <v>1484</v>
      </c>
      <c r="M32" s="23" t="n">
        <v>1511</v>
      </c>
      <c r="N32" s="23" t="n">
        <v>1569</v>
      </c>
      <c r="O32" s="14" t="n">
        <v>1590</v>
      </c>
      <c r="P32" s="14" t="n">
        <v>1716</v>
      </c>
      <c r="Q32" s="14" t="n">
        <v>1734</v>
      </c>
      <c r="R32" s="14" t="n">
        <v>1820</v>
      </c>
      <c r="S32" s="14" t="n">
        <v>1879</v>
      </c>
      <c r="T32" s="14" t="n">
        <v>1931</v>
      </c>
      <c r="U32" s="14" t="n">
        <v>1855</v>
      </c>
      <c r="V32" s="14" t="n">
        <v>2067</v>
      </c>
      <c r="W32" s="44" t="n">
        <v>2179</v>
      </c>
      <c r="X32" s="44" t="n">
        <v>1999</v>
      </c>
      <c r="Y32" s="44" t="n">
        <v>2283</v>
      </c>
    </row>
    <row r="33" customFormat="false" ht="19.5" hidden="false" customHeight="true" outlineLevel="0" collapsed="false">
      <c r="B33" s="41"/>
      <c r="C33" s="42" t="s">
        <v>27</v>
      </c>
      <c r="D33" s="46" t="n">
        <v>1.67</v>
      </c>
      <c r="E33" s="19" t="n">
        <v>1.6</v>
      </c>
      <c r="F33" s="19" t="n">
        <v>1.65</v>
      </c>
      <c r="G33" s="19" t="n">
        <v>1.68</v>
      </c>
      <c r="H33" s="19" t="n">
        <v>1.65</v>
      </c>
      <c r="I33" s="19" t="n">
        <v>1.71</v>
      </c>
      <c r="J33" s="19" t="n">
        <v>1.68</v>
      </c>
      <c r="K33" s="19" t="n">
        <v>1.76</v>
      </c>
      <c r="L33" s="19" t="n">
        <v>1.8</v>
      </c>
      <c r="M33" s="19" t="n">
        <v>1.83</v>
      </c>
      <c r="N33" s="19" t="n">
        <v>1.88</v>
      </c>
      <c r="O33" s="14" t="n">
        <v>1.91</v>
      </c>
      <c r="P33" s="14" t="n">
        <v>2.02</v>
      </c>
      <c r="Q33" s="14" t="n">
        <v>2.04</v>
      </c>
      <c r="R33" s="14" t="n">
        <v>2.09</v>
      </c>
      <c r="S33" s="19" t="n">
        <v>2.16</v>
      </c>
      <c r="T33" s="19" t="n">
        <v>2.2</v>
      </c>
      <c r="U33" s="19" t="n">
        <v>2.12</v>
      </c>
      <c r="V33" s="19" t="n">
        <v>2.28</v>
      </c>
      <c r="W33" s="44" t="n">
        <v>2.5</v>
      </c>
      <c r="X33" s="44" t="n">
        <v>2.35</v>
      </c>
      <c r="Y33" s="44" t="n">
        <v>2.46</v>
      </c>
    </row>
    <row r="34" customFormat="false" ht="19.5" hidden="false" customHeight="true" outlineLevel="0" collapsed="false">
      <c r="B34" s="41" t="s">
        <v>29</v>
      </c>
      <c r="C34" s="42" t="s">
        <v>24</v>
      </c>
      <c r="D34" s="43" t="n">
        <v>614</v>
      </c>
      <c r="E34" s="14" t="n">
        <v>620</v>
      </c>
      <c r="F34" s="14" t="n">
        <v>634</v>
      </c>
      <c r="G34" s="14" t="n">
        <v>654</v>
      </c>
      <c r="H34" s="14" t="n">
        <v>665</v>
      </c>
      <c r="I34" s="14" t="n">
        <v>647</v>
      </c>
      <c r="J34" s="14" t="n">
        <v>641</v>
      </c>
      <c r="K34" s="14" t="n">
        <v>660</v>
      </c>
      <c r="L34" s="14" t="n">
        <v>641</v>
      </c>
      <c r="M34" s="14" t="n">
        <v>667</v>
      </c>
      <c r="N34" s="14" t="n">
        <v>669</v>
      </c>
      <c r="O34" s="14" t="n">
        <v>665</v>
      </c>
      <c r="P34" s="14" t="n">
        <v>675</v>
      </c>
      <c r="Q34" s="14" t="n">
        <v>672</v>
      </c>
      <c r="R34" s="14" t="n">
        <v>703</v>
      </c>
      <c r="S34" s="14" t="n">
        <v>706</v>
      </c>
      <c r="T34" s="14" t="n">
        <v>695</v>
      </c>
      <c r="U34" s="14" t="n">
        <v>731</v>
      </c>
      <c r="V34" s="14" t="n">
        <v>767</v>
      </c>
      <c r="W34" s="44" t="n">
        <v>765</v>
      </c>
      <c r="X34" s="44" t="n">
        <v>759</v>
      </c>
      <c r="Y34" s="44" t="n">
        <v>754</v>
      </c>
    </row>
    <row r="35" customFormat="false" ht="19.5" hidden="false" customHeight="true" outlineLevel="0" collapsed="false">
      <c r="B35" s="41"/>
      <c r="C35" s="42" t="s">
        <v>26</v>
      </c>
      <c r="D35" s="43" t="n">
        <v>765</v>
      </c>
      <c r="E35" s="14" t="n">
        <v>873</v>
      </c>
      <c r="F35" s="14" t="n">
        <v>914</v>
      </c>
      <c r="G35" s="14" t="n">
        <v>1013</v>
      </c>
      <c r="H35" s="14" t="n">
        <v>1056</v>
      </c>
      <c r="I35" s="23" t="n">
        <v>1001</v>
      </c>
      <c r="J35" s="23" t="n">
        <v>1086</v>
      </c>
      <c r="K35" s="23" t="n">
        <v>1184</v>
      </c>
      <c r="L35" s="23" t="n">
        <v>1158</v>
      </c>
      <c r="M35" s="23" t="n">
        <v>1258</v>
      </c>
      <c r="N35" s="23" t="n">
        <v>1344</v>
      </c>
      <c r="O35" s="14" t="n">
        <v>1387</v>
      </c>
      <c r="P35" s="14" t="n">
        <v>1442</v>
      </c>
      <c r="Q35" s="14" t="n">
        <v>1394</v>
      </c>
      <c r="R35" s="14" t="n">
        <v>1515</v>
      </c>
      <c r="S35" s="14" t="n">
        <v>1572</v>
      </c>
      <c r="T35" s="14" t="n">
        <v>1344</v>
      </c>
      <c r="U35" s="14" t="n">
        <v>1556</v>
      </c>
      <c r="V35" s="14" t="n">
        <v>1746</v>
      </c>
      <c r="W35" s="44" t="n">
        <v>1846</v>
      </c>
      <c r="X35" s="44" t="n">
        <v>1882</v>
      </c>
      <c r="Y35" s="44" t="n">
        <v>1883</v>
      </c>
    </row>
    <row r="36" customFormat="false" ht="19.5" hidden="false" customHeight="true" outlineLevel="0" collapsed="false">
      <c r="B36" s="41"/>
      <c r="C36" s="42" t="s">
        <v>27</v>
      </c>
      <c r="D36" s="46" t="n">
        <v>1.25</v>
      </c>
      <c r="E36" s="19" t="n">
        <v>1.41</v>
      </c>
      <c r="F36" s="19" t="n">
        <v>1.44</v>
      </c>
      <c r="G36" s="19" t="n">
        <v>1.55</v>
      </c>
      <c r="H36" s="19" t="n">
        <v>1.59</v>
      </c>
      <c r="I36" s="19" t="n">
        <v>1.55</v>
      </c>
      <c r="J36" s="19" t="n">
        <v>1.69</v>
      </c>
      <c r="K36" s="19" t="n">
        <v>1.79</v>
      </c>
      <c r="L36" s="19" t="n">
        <v>1.81</v>
      </c>
      <c r="M36" s="19" t="n">
        <v>1.89</v>
      </c>
      <c r="N36" s="19" t="n">
        <v>2.01</v>
      </c>
      <c r="O36" s="14" t="n">
        <v>2.09</v>
      </c>
      <c r="P36" s="14" t="n">
        <v>2.13</v>
      </c>
      <c r="Q36" s="14" t="n">
        <v>2.07</v>
      </c>
      <c r="R36" s="14" t="n">
        <v>2.16</v>
      </c>
      <c r="S36" s="19" t="n">
        <v>2.22</v>
      </c>
      <c r="T36" s="19" t="n">
        <v>1.93</v>
      </c>
      <c r="U36" s="19" t="n">
        <v>2.13</v>
      </c>
      <c r="V36" s="19" t="n">
        <v>2.75</v>
      </c>
      <c r="W36" s="44" t="n">
        <v>2.41</v>
      </c>
      <c r="X36" s="44" t="n">
        <v>2.47</v>
      </c>
      <c r="Y36" s="44" t="n">
        <v>2.5</v>
      </c>
    </row>
    <row r="37" customFormat="false" ht="19.5" hidden="false" customHeight="true" outlineLevel="0" collapsed="false">
      <c r="B37" s="41" t="s">
        <v>30</v>
      </c>
      <c r="C37" s="42" t="s">
        <v>24</v>
      </c>
      <c r="D37" s="43" t="n">
        <v>30</v>
      </c>
      <c r="E37" s="14" t="n">
        <v>30</v>
      </c>
      <c r="F37" s="14" t="n">
        <v>31</v>
      </c>
      <c r="G37" s="14" t="n">
        <v>39</v>
      </c>
      <c r="H37" s="14" t="n">
        <v>39</v>
      </c>
      <c r="I37" s="14" t="n">
        <v>37</v>
      </c>
      <c r="J37" s="14" t="n">
        <v>32</v>
      </c>
      <c r="K37" s="14" t="n">
        <v>28</v>
      </c>
      <c r="L37" s="14" t="n">
        <v>28</v>
      </c>
      <c r="M37" s="14" t="n">
        <v>28</v>
      </c>
      <c r="N37" s="14" t="n">
        <v>28</v>
      </c>
      <c r="O37" s="14" t="n">
        <v>27</v>
      </c>
      <c r="P37" s="14" t="n">
        <v>26</v>
      </c>
      <c r="Q37" s="14" t="n">
        <v>26</v>
      </c>
      <c r="R37" s="14" t="n">
        <v>27</v>
      </c>
      <c r="S37" s="14" t="n">
        <v>26</v>
      </c>
      <c r="T37" s="14" t="n">
        <v>26</v>
      </c>
      <c r="U37" s="14" t="n">
        <v>27</v>
      </c>
      <c r="V37" s="14" t="n">
        <v>28</v>
      </c>
      <c r="W37" s="44" t="n">
        <v>27.3</v>
      </c>
      <c r="X37" s="44" t="n">
        <v>28.98</v>
      </c>
      <c r="Y37" s="44" t="n">
        <v>28</v>
      </c>
    </row>
    <row r="38" customFormat="false" ht="19.5" hidden="false" customHeight="true" outlineLevel="0" collapsed="false">
      <c r="B38" s="41"/>
      <c r="C38" s="42" t="s">
        <v>26</v>
      </c>
      <c r="D38" s="43" t="n">
        <v>28</v>
      </c>
      <c r="E38" s="14" t="n">
        <v>29</v>
      </c>
      <c r="F38" s="14" t="n">
        <v>30</v>
      </c>
      <c r="G38" s="14" t="n">
        <v>41</v>
      </c>
      <c r="H38" s="14" t="n">
        <v>39</v>
      </c>
      <c r="I38" s="14" t="n">
        <v>37</v>
      </c>
      <c r="J38" s="14" t="n">
        <v>32</v>
      </c>
      <c r="K38" s="14" t="n">
        <v>31</v>
      </c>
      <c r="L38" s="14" t="n">
        <v>31</v>
      </c>
      <c r="M38" s="14" t="n">
        <v>31</v>
      </c>
      <c r="N38" s="14" t="n">
        <v>32</v>
      </c>
      <c r="O38" s="14" t="n">
        <v>30</v>
      </c>
      <c r="P38" s="14" t="n">
        <v>29</v>
      </c>
      <c r="Q38" s="14" t="n">
        <v>28</v>
      </c>
      <c r="R38" s="14" t="n">
        <v>28</v>
      </c>
      <c r="S38" s="14" t="n">
        <v>28</v>
      </c>
      <c r="T38" s="14" t="n">
        <v>23</v>
      </c>
      <c r="U38" s="14" t="n">
        <v>28</v>
      </c>
      <c r="V38" s="14" t="n">
        <v>30</v>
      </c>
      <c r="W38" s="44" t="n">
        <v>35</v>
      </c>
      <c r="X38" s="44" t="n">
        <v>37</v>
      </c>
      <c r="Y38" s="44" t="n">
        <v>35</v>
      </c>
    </row>
    <row r="39" customFormat="false" ht="19.5" hidden="false" customHeight="true" outlineLevel="0" collapsed="false">
      <c r="B39" s="41"/>
      <c r="C39" s="42" t="s">
        <v>27</v>
      </c>
      <c r="D39" s="46" t="n">
        <v>0.93</v>
      </c>
      <c r="E39" s="19" t="n">
        <v>0.96</v>
      </c>
      <c r="F39" s="19" t="n">
        <v>0.96</v>
      </c>
      <c r="G39" s="19" t="n">
        <v>0.95</v>
      </c>
      <c r="H39" s="19" t="n">
        <v>1</v>
      </c>
      <c r="I39" s="19" t="n">
        <v>1</v>
      </c>
      <c r="J39" s="19" t="n">
        <v>1</v>
      </c>
      <c r="K39" s="19" t="n">
        <v>1.1</v>
      </c>
      <c r="L39" s="19" t="n">
        <v>1.08</v>
      </c>
      <c r="M39" s="19" t="n">
        <v>1.11</v>
      </c>
      <c r="N39" s="19" t="n">
        <v>1.15</v>
      </c>
      <c r="O39" s="25" t="n">
        <v>1.09</v>
      </c>
      <c r="P39" s="19" t="n">
        <v>1.1</v>
      </c>
      <c r="Q39" s="19" t="n">
        <v>1.06</v>
      </c>
      <c r="R39" s="19" t="n">
        <v>1.06</v>
      </c>
      <c r="S39" s="19" t="n">
        <v>1.07</v>
      </c>
      <c r="T39" s="19" t="n">
        <v>0.9</v>
      </c>
      <c r="U39" s="19" t="n">
        <v>1.03</v>
      </c>
      <c r="V39" s="19" t="n">
        <v>1.07</v>
      </c>
      <c r="W39" s="44" t="n">
        <v>1.25</v>
      </c>
      <c r="X39" s="44" t="n">
        <v>1.27</v>
      </c>
      <c r="Y39" s="44" t="n">
        <v>1.24</v>
      </c>
    </row>
    <row r="40" customFormat="false" ht="19.5" hidden="false" customHeight="true" outlineLevel="0" collapsed="false">
      <c r="B40" s="41" t="s">
        <v>31</v>
      </c>
      <c r="C40" s="42" t="s">
        <v>24</v>
      </c>
      <c r="D40" s="43" t="n">
        <v>202</v>
      </c>
      <c r="E40" s="14" t="n">
        <v>254</v>
      </c>
      <c r="F40" s="14" t="n">
        <v>250</v>
      </c>
      <c r="G40" s="14" t="n">
        <v>260</v>
      </c>
      <c r="H40" s="14" t="n">
        <v>260</v>
      </c>
      <c r="I40" s="14" t="n">
        <v>262</v>
      </c>
      <c r="J40" s="14" t="n">
        <v>264</v>
      </c>
      <c r="K40" s="14" t="n">
        <v>263</v>
      </c>
      <c r="L40" s="14" t="n">
        <v>260</v>
      </c>
      <c r="M40" s="14" t="n">
        <v>258</v>
      </c>
      <c r="N40" s="14" t="n">
        <v>259</v>
      </c>
      <c r="O40" s="14" t="n">
        <v>259</v>
      </c>
      <c r="P40" s="14" t="n">
        <v>259</v>
      </c>
      <c r="Q40" s="14" t="n">
        <v>262</v>
      </c>
      <c r="R40" s="14" t="n">
        <v>265</v>
      </c>
      <c r="S40" s="14" t="n">
        <v>265</v>
      </c>
      <c r="T40" s="14" t="n">
        <v>266</v>
      </c>
      <c r="U40" s="14" t="n">
        <v>268</v>
      </c>
      <c r="V40" s="14" t="n">
        <v>270</v>
      </c>
      <c r="W40" s="44" t="n">
        <v>278</v>
      </c>
      <c r="X40" s="44" t="n">
        <v>274</v>
      </c>
      <c r="Y40" s="44" t="n">
        <v>271</v>
      </c>
    </row>
    <row r="41" customFormat="false" ht="19.5" hidden="false" customHeight="true" outlineLevel="0" collapsed="false">
      <c r="B41" s="41"/>
      <c r="C41" s="42" t="s">
        <v>26</v>
      </c>
      <c r="D41" s="43" t="n">
        <v>237</v>
      </c>
      <c r="E41" s="14" t="n">
        <v>274</v>
      </c>
      <c r="F41" s="14" t="n">
        <v>268</v>
      </c>
      <c r="G41" s="14" t="n">
        <v>282</v>
      </c>
      <c r="H41" s="14" t="n">
        <v>289</v>
      </c>
      <c r="I41" s="14" t="n">
        <v>285</v>
      </c>
      <c r="J41" s="14" t="n">
        <v>291</v>
      </c>
      <c r="K41" s="14" t="n">
        <v>295</v>
      </c>
      <c r="L41" s="14" t="n">
        <v>283</v>
      </c>
      <c r="M41" s="14" t="n">
        <v>283</v>
      </c>
      <c r="N41" s="14" t="n">
        <v>283</v>
      </c>
      <c r="O41" s="14" t="n">
        <v>283</v>
      </c>
      <c r="P41" s="14" t="n">
        <v>290</v>
      </c>
      <c r="Q41" s="14" t="n">
        <v>291</v>
      </c>
      <c r="R41" s="14" t="n">
        <v>285</v>
      </c>
      <c r="S41" s="14" t="n">
        <v>291</v>
      </c>
      <c r="T41" s="14" t="n">
        <v>293</v>
      </c>
      <c r="U41" s="14" t="n">
        <v>299</v>
      </c>
      <c r="V41" s="14" t="n">
        <v>303</v>
      </c>
      <c r="W41" s="44" t="n">
        <v>315</v>
      </c>
      <c r="X41" s="44" t="n">
        <v>305</v>
      </c>
      <c r="Y41" s="44" t="n">
        <v>304</v>
      </c>
    </row>
    <row r="42" customFormat="false" ht="19.5" hidden="false" customHeight="true" outlineLevel="0" collapsed="false">
      <c r="B42" s="41"/>
      <c r="C42" s="42" t="s">
        <v>27</v>
      </c>
      <c r="D42" s="46" t="n">
        <v>1.17</v>
      </c>
      <c r="E42" s="19" t="n">
        <v>1.08</v>
      </c>
      <c r="F42" s="19" t="n">
        <v>1.07</v>
      </c>
      <c r="G42" s="19" t="n">
        <v>1.09</v>
      </c>
      <c r="H42" s="19" t="n">
        <v>1.11</v>
      </c>
      <c r="I42" s="19" t="n">
        <v>1.09</v>
      </c>
      <c r="J42" s="19" t="n">
        <v>1.1</v>
      </c>
      <c r="K42" s="19" t="n">
        <v>1.12</v>
      </c>
      <c r="L42" s="19" t="n">
        <v>1.09</v>
      </c>
      <c r="M42" s="19" t="n">
        <v>1.09</v>
      </c>
      <c r="N42" s="19" t="n">
        <v>1.09</v>
      </c>
      <c r="O42" s="14" t="n">
        <v>1.09</v>
      </c>
      <c r="P42" s="14" t="n">
        <v>1.12</v>
      </c>
      <c r="Q42" s="14" t="n">
        <v>1.11</v>
      </c>
      <c r="R42" s="14" t="n">
        <v>1.07</v>
      </c>
      <c r="S42" s="19" t="n">
        <v>1.09</v>
      </c>
      <c r="T42" s="19" t="n">
        <v>1.1</v>
      </c>
      <c r="U42" s="19" t="n">
        <v>1.11</v>
      </c>
      <c r="V42" s="19" t="n">
        <v>1.12</v>
      </c>
      <c r="W42" s="44" t="n">
        <v>1.13</v>
      </c>
      <c r="X42" s="44" t="n">
        <v>1.11</v>
      </c>
      <c r="Y42" s="44" t="n">
        <v>1.12</v>
      </c>
    </row>
    <row r="43" customFormat="false" ht="19.5" hidden="false" customHeight="true" outlineLevel="0" collapsed="false">
      <c r="B43" s="41" t="s">
        <v>57</v>
      </c>
      <c r="C43" s="42" t="s">
        <v>24</v>
      </c>
      <c r="D43" s="4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 t="n">
        <v>10.3</v>
      </c>
      <c r="W43" s="44" t="n">
        <v>10.3</v>
      </c>
      <c r="X43" s="44" t="n">
        <v>10.68</v>
      </c>
      <c r="Y43" s="44" t="n">
        <v>10.5</v>
      </c>
    </row>
    <row r="44" customFormat="false" ht="19.5" hidden="false" customHeight="true" outlineLevel="0" collapsed="false">
      <c r="B44" s="41"/>
      <c r="C44" s="42" t="s">
        <v>26</v>
      </c>
      <c r="D44" s="43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 t="n">
        <v>8.84</v>
      </c>
      <c r="W44" s="44" t="n">
        <v>10</v>
      </c>
      <c r="X44" s="44" t="n">
        <v>10.05</v>
      </c>
      <c r="Y44" s="44" t="n">
        <v>10.3</v>
      </c>
    </row>
    <row r="45" customFormat="false" ht="19.5" hidden="false" customHeight="true" outlineLevel="0" collapsed="false">
      <c r="B45" s="41"/>
      <c r="C45" s="42" t="s">
        <v>27</v>
      </c>
      <c r="D45" s="43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9" t="n">
        <v>0.85</v>
      </c>
      <c r="W45" s="44" t="n">
        <v>0.97</v>
      </c>
      <c r="X45" s="44" t="n">
        <v>0.94</v>
      </c>
      <c r="Y45" s="44" t="n">
        <v>0.98</v>
      </c>
    </row>
    <row r="46" s="47" customFormat="true" ht="19.5" hidden="false" customHeight="true" outlineLevel="0" collapsed="false">
      <c r="B46" s="48" t="s">
        <v>32</v>
      </c>
      <c r="C46" s="48"/>
      <c r="D46" s="49" t="n">
        <f aca="false">D43+D37+D34+D31+D28</f>
        <v>2743</v>
      </c>
      <c r="E46" s="28" t="n">
        <f aca="false">E28+E31+E34+E37+E43</f>
        <v>2861</v>
      </c>
      <c r="F46" s="28" t="n">
        <f aca="false">F28+F31+F34+F37+F43</f>
        <v>2857</v>
      </c>
      <c r="G46" s="28" t="n">
        <v>3383</v>
      </c>
      <c r="H46" s="28" t="n">
        <f aca="false">H28+H31+H34+H37+H43</f>
        <v>3002</v>
      </c>
      <c r="I46" s="28" t="n">
        <f aca="false">I28+I31+I34+I37+I43</f>
        <v>2989</v>
      </c>
      <c r="J46" s="28" t="n">
        <f aca="false">J28+J31+J34+J37+J43</f>
        <v>2989</v>
      </c>
      <c r="K46" s="28" t="n">
        <f aca="false">K28+K31+K34+K37+K43</f>
        <v>3058</v>
      </c>
      <c r="L46" s="28" t="n">
        <f aca="false">L43+L37+L34+L31+L28</f>
        <v>3054</v>
      </c>
      <c r="M46" s="28" t="n">
        <f aca="false">M43+M37+M34+M31+M28</f>
        <v>3038</v>
      </c>
      <c r="N46" s="28" t="n">
        <f aca="false">N43+N37+N34+N31+N28</f>
        <v>3078</v>
      </c>
      <c r="O46" s="28" t="n">
        <f aca="false">O43+O37+O34+O31+O28</f>
        <v>3085</v>
      </c>
      <c r="P46" s="28" t="n">
        <f aca="false">P43+P37+P34+P31+P28</f>
        <v>3093</v>
      </c>
      <c r="Q46" s="28" t="n">
        <f aca="false">Q43+Q37+Q34+Q31+Q28</f>
        <v>3098</v>
      </c>
      <c r="R46" s="28" t="n">
        <f aca="false">R43+R37+R34+R31+R28</f>
        <v>3040</v>
      </c>
      <c r="S46" s="28" t="n">
        <f aca="false">S28+S31+S34+S37+S43</f>
        <v>3151</v>
      </c>
      <c r="T46" s="28" t="n">
        <f aca="false">T28+T31+T34+T37+T43</f>
        <v>3152</v>
      </c>
      <c r="U46" s="28" t="n">
        <v>3383</v>
      </c>
      <c r="V46" s="50" t="n">
        <v>3477.3</v>
      </c>
      <c r="W46" s="51" t="n">
        <v>3484</v>
      </c>
      <c r="X46" s="52" t="n">
        <v>3482.6</v>
      </c>
      <c r="Y46" s="53" t="n">
        <v>3341.66</v>
      </c>
    </row>
    <row r="47" s="47" customFormat="true" ht="19.5" hidden="false" customHeight="true" outlineLevel="0" collapsed="false">
      <c r="B47" s="54" t="s">
        <v>33</v>
      </c>
      <c r="C47" s="54"/>
      <c r="D47" s="55" t="n">
        <f aca="false">D29+D32+D35+D38+D44</f>
        <v>4796</v>
      </c>
      <c r="E47" s="56" t="n">
        <f aca="false">E29+E32+E35+E38+E44</f>
        <v>5605</v>
      </c>
      <c r="F47" s="56" t="n">
        <f aca="false">F29+F32+F35+F38+F44</f>
        <v>5145</v>
      </c>
      <c r="G47" s="56" t="n">
        <f aca="false">G29+G32+G35+G38+G44</f>
        <v>5964</v>
      </c>
      <c r="H47" s="56" t="n">
        <f aca="false">H29+H32+H35+H38+H44</f>
        <v>6106</v>
      </c>
      <c r="I47" s="57" t="n">
        <f aca="false">I29+I32+I35+I38+I44</f>
        <v>6046</v>
      </c>
      <c r="J47" s="57" t="n">
        <f aca="false">J29+J32+J35+J38+J44</f>
        <v>6174</v>
      </c>
      <c r="K47" s="57" t="n">
        <f aca="false">K29+K32+K35+K38+K44</f>
        <v>6690</v>
      </c>
      <c r="L47" s="57" t="n">
        <f aca="false">L29+L32+L35+L38+L44</f>
        <v>6889</v>
      </c>
      <c r="M47" s="57" t="n">
        <f aca="false">M29+M32+M35+M38+M44</f>
        <v>6965</v>
      </c>
      <c r="N47" s="57" t="n">
        <f aca="false">N29+N32+N35+N38+N44</f>
        <v>7077</v>
      </c>
      <c r="O47" s="57" t="n">
        <f aca="false">O29+O32+O35+O38+O44</f>
        <v>7463</v>
      </c>
      <c r="P47" s="57" t="n">
        <f aca="false">P29+P32+P35+P38+P44</f>
        <v>7477</v>
      </c>
      <c r="Q47" s="57" t="n">
        <f aca="false">Q29+Q32+Q35+Q38+Q44</f>
        <v>7365</v>
      </c>
      <c r="R47" s="57" t="n">
        <f aca="false">R29+R32+R35+R38+R44</f>
        <v>7044</v>
      </c>
      <c r="S47" s="56" t="n">
        <f aca="false">S29+S32+S35+S38+S44</f>
        <v>7778</v>
      </c>
      <c r="T47" s="56" t="n">
        <f aca="false">T29+T32+T35+T38+T44</f>
        <v>7822</v>
      </c>
      <c r="U47" s="56" t="n">
        <v>7762</v>
      </c>
      <c r="V47" s="58" t="n">
        <v>8614.8</v>
      </c>
      <c r="W47" s="59" t="n">
        <v>9457</v>
      </c>
      <c r="X47" s="60" t="n">
        <v>9457</v>
      </c>
      <c r="Y47" s="61" t="n">
        <v>8737.05</v>
      </c>
    </row>
    <row r="48" customFormat="false" ht="12.75" hidden="false" customHeight="false" outlineLevel="0" collapsed="false">
      <c r="B48" s="1" t="s">
        <v>58</v>
      </c>
    </row>
    <row r="49" customFormat="false" ht="12.75" hidden="false" customHeight="false" outlineLevel="0" collapsed="false">
      <c r="B49" s="1" t="s">
        <v>59</v>
      </c>
    </row>
    <row r="50" customFormat="false" ht="12.75" hidden="false" customHeight="false" outlineLevel="0" collapsed="false">
      <c r="B50" s="1" t="s">
        <v>60</v>
      </c>
    </row>
  </sheetData>
  <mergeCells count="15">
    <mergeCell ref="B1:U1"/>
    <mergeCell ref="B5:C6"/>
    <mergeCell ref="D5:U5"/>
    <mergeCell ref="B22:C22"/>
    <mergeCell ref="B23:C23"/>
    <mergeCell ref="B26:C27"/>
    <mergeCell ref="D26:Y26"/>
    <mergeCell ref="B28:B30"/>
    <mergeCell ref="B31:B33"/>
    <mergeCell ref="B34:B36"/>
    <mergeCell ref="B37:B39"/>
    <mergeCell ref="B40:B42"/>
    <mergeCell ref="B43:B45"/>
    <mergeCell ref="B46:C46"/>
    <mergeCell ref="B47:C47"/>
  </mergeCells>
  <printOptions headings="false" gridLines="false" gridLinesSet="true" horizontalCentered="true" verticalCentered="true"/>
  <pageMargins left="0.890277777777778" right="0.720138888888889" top="0.729861111111111" bottom="0.65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40" activeCellId="0" sqref="AC40"/>
    </sheetView>
  </sheetViews>
  <sheetFormatPr defaultColWidth="7.78125" defaultRowHeight="12.75" customHeight="false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1" width="11.67"/>
    <col collapsed="false" customWidth="true" hidden="false" outlineLevel="0" max="18" min="3" style="1" width="6.11"/>
    <col collapsed="false" customWidth="true" hidden="false" outlineLevel="0" max="19" min="19" style="1" width="6.77"/>
    <col collapsed="false" customWidth="true" hidden="false" outlineLevel="0" max="20" min="20" style="1" width="7.11"/>
    <col collapsed="false" customWidth="true" hidden="false" outlineLevel="0" max="21" min="21" style="1" width="6.77"/>
    <col collapsed="false" customWidth="true" hidden="false" outlineLevel="0" max="24" min="22" style="1" width="6.33"/>
    <col collapsed="false" customWidth="false" hidden="false" outlineLevel="0" max="256" min="25" style="1" width="7.78"/>
    <col collapsed="false" customWidth="true" hidden="false" outlineLevel="0" max="257" min="257" style="1" width="8.88"/>
    <col collapsed="false" customWidth="true" hidden="false" outlineLevel="0" max="258" min="258" style="1" width="11.67"/>
    <col collapsed="false" customWidth="true" hidden="false" outlineLevel="0" max="274" min="259" style="1" width="6.11"/>
    <col collapsed="false" customWidth="true" hidden="false" outlineLevel="0" max="275" min="275" style="1" width="6.77"/>
    <col collapsed="false" customWidth="true" hidden="false" outlineLevel="0" max="276" min="276" style="1" width="7.11"/>
    <col collapsed="false" customWidth="true" hidden="false" outlineLevel="0" max="277" min="277" style="1" width="6.77"/>
    <col collapsed="false" customWidth="true" hidden="false" outlineLevel="0" max="280" min="278" style="1" width="6.33"/>
    <col collapsed="false" customWidth="false" hidden="false" outlineLevel="0" max="512" min="281" style="1" width="7.78"/>
    <col collapsed="false" customWidth="true" hidden="false" outlineLevel="0" max="513" min="513" style="1" width="8.88"/>
    <col collapsed="false" customWidth="true" hidden="false" outlineLevel="0" max="514" min="514" style="1" width="11.67"/>
    <col collapsed="false" customWidth="true" hidden="false" outlineLevel="0" max="530" min="515" style="1" width="6.11"/>
    <col collapsed="false" customWidth="true" hidden="false" outlineLevel="0" max="531" min="531" style="1" width="6.77"/>
    <col collapsed="false" customWidth="true" hidden="false" outlineLevel="0" max="532" min="532" style="1" width="7.11"/>
    <col collapsed="false" customWidth="true" hidden="false" outlineLevel="0" max="533" min="533" style="1" width="6.77"/>
    <col collapsed="false" customWidth="true" hidden="false" outlineLevel="0" max="536" min="534" style="1" width="6.33"/>
    <col collapsed="false" customWidth="false" hidden="false" outlineLevel="0" max="768" min="537" style="1" width="7.78"/>
    <col collapsed="false" customWidth="true" hidden="false" outlineLevel="0" max="769" min="769" style="1" width="8.88"/>
    <col collapsed="false" customWidth="true" hidden="false" outlineLevel="0" max="770" min="770" style="1" width="11.67"/>
    <col collapsed="false" customWidth="true" hidden="false" outlineLevel="0" max="786" min="771" style="1" width="6.11"/>
    <col collapsed="false" customWidth="true" hidden="false" outlineLevel="0" max="787" min="787" style="1" width="6.77"/>
    <col collapsed="false" customWidth="true" hidden="false" outlineLevel="0" max="788" min="788" style="1" width="7.11"/>
    <col collapsed="false" customWidth="true" hidden="false" outlineLevel="0" max="789" min="789" style="1" width="6.77"/>
    <col collapsed="false" customWidth="true" hidden="false" outlineLevel="0" max="792" min="790" style="1" width="6.33"/>
    <col collapsed="false" customWidth="false" hidden="false" outlineLevel="0" max="1024" min="793" style="1" width="7.78"/>
    <col collapsed="false" customWidth="true" hidden="false" outlineLevel="0" max="1025" min="1025" style="1" width="8.88"/>
    <col collapsed="false" customWidth="true" hidden="false" outlineLevel="0" max="1026" min="1026" style="1" width="11.67"/>
    <col collapsed="false" customWidth="true" hidden="false" outlineLevel="0" max="1042" min="1027" style="1" width="6.11"/>
    <col collapsed="false" customWidth="true" hidden="false" outlineLevel="0" max="1043" min="1043" style="1" width="6.77"/>
    <col collapsed="false" customWidth="true" hidden="false" outlineLevel="0" max="1044" min="1044" style="1" width="7.11"/>
    <col collapsed="false" customWidth="true" hidden="false" outlineLevel="0" max="1045" min="1045" style="1" width="6.77"/>
    <col collapsed="false" customWidth="true" hidden="false" outlineLevel="0" max="1048" min="1046" style="1" width="6.33"/>
    <col collapsed="false" customWidth="false" hidden="false" outlineLevel="0" max="1280" min="1049" style="1" width="7.78"/>
    <col collapsed="false" customWidth="true" hidden="false" outlineLevel="0" max="1281" min="1281" style="1" width="8.88"/>
    <col collapsed="false" customWidth="true" hidden="false" outlineLevel="0" max="1282" min="1282" style="1" width="11.67"/>
    <col collapsed="false" customWidth="true" hidden="false" outlineLevel="0" max="1298" min="1283" style="1" width="6.11"/>
    <col collapsed="false" customWidth="true" hidden="false" outlineLevel="0" max="1299" min="1299" style="1" width="6.77"/>
    <col collapsed="false" customWidth="true" hidden="false" outlineLevel="0" max="1300" min="1300" style="1" width="7.11"/>
    <col collapsed="false" customWidth="true" hidden="false" outlineLevel="0" max="1301" min="1301" style="1" width="6.77"/>
    <col collapsed="false" customWidth="true" hidden="false" outlineLevel="0" max="1304" min="1302" style="1" width="6.33"/>
    <col collapsed="false" customWidth="false" hidden="false" outlineLevel="0" max="1536" min="1305" style="1" width="7.78"/>
    <col collapsed="false" customWidth="true" hidden="false" outlineLevel="0" max="1537" min="1537" style="1" width="8.88"/>
    <col collapsed="false" customWidth="true" hidden="false" outlineLevel="0" max="1538" min="1538" style="1" width="11.67"/>
    <col collapsed="false" customWidth="true" hidden="false" outlineLevel="0" max="1554" min="1539" style="1" width="6.11"/>
    <col collapsed="false" customWidth="true" hidden="false" outlineLevel="0" max="1555" min="1555" style="1" width="6.77"/>
    <col collapsed="false" customWidth="true" hidden="false" outlineLevel="0" max="1556" min="1556" style="1" width="7.11"/>
    <col collapsed="false" customWidth="true" hidden="false" outlineLevel="0" max="1557" min="1557" style="1" width="6.77"/>
    <col collapsed="false" customWidth="true" hidden="false" outlineLevel="0" max="1560" min="1558" style="1" width="6.33"/>
    <col collapsed="false" customWidth="false" hidden="false" outlineLevel="0" max="1792" min="1561" style="1" width="7.78"/>
    <col collapsed="false" customWidth="true" hidden="false" outlineLevel="0" max="1793" min="1793" style="1" width="8.88"/>
    <col collapsed="false" customWidth="true" hidden="false" outlineLevel="0" max="1794" min="1794" style="1" width="11.67"/>
    <col collapsed="false" customWidth="true" hidden="false" outlineLevel="0" max="1810" min="1795" style="1" width="6.11"/>
    <col collapsed="false" customWidth="true" hidden="false" outlineLevel="0" max="1811" min="1811" style="1" width="6.77"/>
    <col collapsed="false" customWidth="true" hidden="false" outlineLevel="0" max="1812" min="1812" style="1" width="7.11"/>
    <col collapsed="false" customWidth="true" hidden="false" outlineLevel="0" max="1813" min="1813" style="1" width="6.77"/>
    <col collapsed="false" customWidth="true" hidden="false" outlineLevel="0" max="1816" min="1814" style="1" width="6.33"/>
    <col collapsed="false" customWidth="false" hidden="false" outlineLevel="0" max="2048" min="1817" style="1" width="7.78"/>
    <col collapsed="false" customWidth="true" hidden="false" outlineLevel="0" max="2049" min="2049" style="1" width="8.88"/>
    <col collapsed="false" customWidth="true" hidden="false" outlineLevel="0" max="2050" min="2050" style="1" width="11.67"/>
    <col collapsed="false" customWidth="true" hidden="false" outlineLevel="0" max="2066" min="2051" style="1" width="6.11"/>
    <col collapsed="false" customWidth="true" hidden="false" outlineLevel="0" max="2067" min="2067" style="1" width="6.77"/>
    <col collapsed="false" customWidth="true" hidden="false" outlineLevel="0" max="2068" min="2068" style="1" width="7.11"/>
    <col collapsed="false" customWidth="true" hidden="false" outlineLevel="0" max="2069" min="2069" style="1" width="6.77"/>
    <col collapsed="false" customWidth="true" hidden="false" outlineLevel="0" max="2072" min="2070" style="1" width="6.33"/>
    <col collapsed="false" customWidth="false" hidden="false" outlineLevel="0" max="2304" min="2073" style="1" width="7.78"/>
    <col collapsed="false" customWidth="true" hidden="false" outlineLevel="0" max="2305" min="2305" style="1" width="8.88"/>
    <col collapsed="false" customWidth="true" hidden="false" outlineLevel="0" max="2306" min="2306" style="1" width="11.67"/>
    <col collapsed="false" customWidth="true" hidden="false" outlineLevel="0" max="2322" min="2307" style="1" width="6.11"/>
    <col collapsed="false" customWidth="true" hidden="false" outlineLevel="0" max="2323" min="2323" style="1" width="6.77"/>
    <col collapsed="false" customWidth="true" hidden="false" outlineLevel="0" max="2324" min="2324" style="1" width="7.11"/>
    <col collapsed="false" customWidth="true" hidden="false" outlineLevel="0" max="2325" min="2325" style="1" width="6.77"/>
    <col collapsed="false" customWidth="true" hidden="false" outlineLevel="0" max="2328" min="2326" style="1" width="6.33"/>
    <col collapsed="false" customWidth="false" hidden="false" outlineLevel="0" max="2560" min="2329" style="1" width="7.78"/>
    <col collapsed="false" customWidth="true" hidden="false" outlineLevel="0" max="2561" min="2561" style="1" width="8.88"/>
    <col collapsed="false" customWidth="true" hidden="false" outlineLevel="0" max="2562" min="2562" style="1" width="11.67"/>
    <col collapsed="false" customWidth="true" hidden="false" outlineLevel="0" max="2578" min="2563" style="1" width="6.11"/>
    <col collapsed="false" customWidth="true" hidden="false" outlineLevel="0" max="2579" min="2579" style="1" width="6.77"/>
    <col collapsed="false" customWidth="true" hidden="false" outlineLevel="0" max="2580" min="2580" style="1" width="7.11"/>
    <col collapsed="false" customWidth="true" hidden="false" outlineLevel="0" max="2581" min="2581" style="1" width="6.77"/>
    <col collapsed="false" customWidth="true" hidden="false" outlineLevel="0" max="2584" min="2582" style="1" width="6.33"/>
    <col collapsed="false" customWidth="false" hidden="false" outlineLevel="0" max="2816" min="2585" style="1" width="7.78"/>
    <col collapsed="false" customWidth="true" hidden="false" outlineLevel="0" max="2817" min="2817" style="1" width="8.88"/>
    <col collapsed="false" customWidth="true" hidden="false" outlineLevel="0" max="2818" min="2818" style="1" width="11.67"/>
    <col collapsed="false" customWidth="true" hidden="false" outlineLevel="0" max="2834" min="2819" style="1" width="6.11"/>
    <col collapsed="false" customWidth="true" hidden="false" outlineLevel="0" max="2835" min="2835" style="1" width="6.77"/>
    <col collapsed="false" customWidth="true" hidden="false" outlineLevel="0" max="2836" min="2836" style="1" width="7.11"/>
    <col collapsed="false" customWidth="true" hidden="false" outlineLevel="0" max="2837" min="2837" style="1" width="6.77"/>
    <col collapsed="false" customWidth="true" hidden="false" outlineLevel="0" max="2840" min="2838" style="1" width="6.33"/>
    <col collapsed="false" customWidth="false" hidden="false" outlineLevel="0" max="3072" min="2841" style="1" width="7.78"/>
    <col collapsed="false" customWidth="true" hidden="false" outlineLevel="0" max="3073" min="3073" style="1" width="8.88"/>
    <col collapsed="false" customWidth="true" hidden="false" outlineLevel="0" max="3074" min="3074" style="1" width="11.67"/>
    <col collapsed="false" customWidth="true" hidden="false" outlineLevel="0" max="3090" min="3075" style="1" width="6.11"/>
    <col collapsed="false" customWidth="true" hidden="false" outlineLevel="0" max="3091" min="3091" style="1" width="6.77"/>
    <col collapsed="false" customWidth="true" hidden="false" outlineLevel="0" max="3092" min="3092" style="1" width="7.11"/>
    <col collapsed="false" customWidth="true" hidden="false" outlineLevel="0" max="3093" min="3093" style="1" width="6.77"/>
    <col collapsed="false" customWidth="true" hidden="false" outlineLevel="0" max="3096" min="3094" style="1" width="6.33"/>
    <col collapsed="false" customWidth="false" hidden="false" outlineLevel="0" max="3328" min="3097" style="1" width="7.78"/>
    <col collapsed="false" customWidth="true" hidden="false" outlineLevel="0" max="3329" min="3329" style="1" width="8.88"/>
    <col collapsed="false" customWidth="true" hidden="false" outlineLevel="0" max="3330" min="3330" style="1" width="11.67"/>
    <col collapsed="false" customWidth="true" hidden="false" outlineLevel="0" max="3346" min="3331" style="1" width="6.11"/>
    <col collapsed="false" customWidth="true" hidden="false" outlineLevel="0" max="3347" min="3347" style="1" width="6.77"/>
    <col collapsed="false" customWidth="true" hidden="false" outlineLevel="0" max="3348" min="3348" style="1" width="7.11"/>
    <col collapsed="false" customWidth="true" hidden="false" outlineLevel="0" max="3349" min="3349" style="1" width="6.77"/>
    <col collapsed="false" customWidth="true" hidden="false" outlineLevel="0" max="3352" min="3350" style="1" width="6.33"/>
    <col collapsed="false" customWidth="false" hidden="false" outlineLevel="0" max="3584" min="3353" style="1" width="7.78"/>
    <col collapsed="false" customWidth="true" hidden="false" outlineLevel="0" max="3585" min="3585" style="1" width="8.88"/>
    <col collapsed="false" customWidth="true" hidden="false" outlineLevel="0" max="3586" min="3586" style="1" width="11.67"/>
    <col collapsed="false" customWidth="true" hidden="false" outlineLevel="0" max="3602" min="3587" style="1" width="6.11"/>
    <col collapsed="false" customWidth="true" hidden="false" outlineLevel="0" max="3603" min="3603" style="1" width="6.77"/>
    <col collapsed="false" customWidth="true" hidden="false" outlineLevel="0" max="3604" min="3604" style="1" width="7.11"/>
    <col collapsed="false" customWidth="true" hidden="false" outlineLevel="0" max="3605" min="3605" style="1" width="6.77"/>
    <col collapsed="false" customWidth="true" hidden="false" outlineLevel="0" max="3608" min="3606" style="1" width="6.33"/>
    <col collapsed="false" customWidth="false" hidden="false" outlineLevel="0" max="3840" min="3609" style="1" width="7.78"/>
    <col collapsed="false" customWidth="true" hidden="false" outlineLevel="0" max="3841" min="3841" style="1" width="8.88"/>
    <col collapsed="false" customWidth="true" hidden="false" outlineLevel="0" max="3842" min="3842" style="1" width="11.67"/>
    <col collapsed="false" customWidth="true" hidden="false" outlineLevel="0" max="3858" min="3843" style="1" width="6.11"/>
    <col collapsed="false" customWidth="true" hidden="false" outlineLevel="0" max="3859" min="3859" style="1" width="6.77"/>
    <col collapsed="false" customWidth="true" hidden="false" outlineLevel="0" max="3860" min="3860" style="1" width="7.11"/>
    <col collapsed="false" customWidth="true" hidden="false" outlineLevel="0" max="3861" min="3861" style="1" width="6.77"/>
    <col collapsed="false" customWidth="true" hidden="false" outlineLevel="0" max="3864" min="3862" style="1" width="6.33"/>
    <col collapsed="false" customWidth="false" hidden="false" outlineLevel="0" max="4096" min="3865" style="1" width="7.78"/>
    <col collapsed="false" customWidth="true" hidden="false" outlineLevel="0" max="4097" min="4097" style="1" width="8.88"/>
    <col collapsed="false" customWidth="true" hidden="false" outlineLevel="0" max="4098" min="4098" style="1" width="11.67"/>
    <col collapsed="false" customWidth="true" hidden="false" outlineLevel="0" max="4114" min="4099" style="1" width="6.11"/>
    <col collapsed="false" customWidth="true" hidden="false" outlineLevel="0" max="4115" min="4115" style="1" width="6.77"/>
    <col collapsed="false" customWidth="true" hidden="false" outlineLevel="0" max="4116" min="4116" style="1" width="7.11"/>
    <col collapsed="false" customWidth="true" hidden="false" outlineLevel="0" max="4117" min="4117" style="1" width="6.77"/>
    <col collapsed="false" customWidth="true" hidden="false" outlineLevel="0" max="4120" min="4118" style="1" width="6.33"/>
    <col collapsed="false" customWidth="false" hidden="false" outlineLevel="0" max="4352" min="4121" style="1" width="7.78"/>
    <col collapsed="false" customWidth="true" hidden="false" outlineLevel="0" max="4353" min="4353" style="1" width="8.88"/>
    <col collapsed="false" customWidth="true" hidden="false" outlineLevel="0" max="4354" min="4354" style="1" width="11.67"/>
    <col collapsed="false" customWidth="true" hidden="false" outlineLevel="0" max="4370" min="4355" style="1" width="6.11"/>
    <col collapsed="false" customWidth="true" hidden="false" outlineLevel="0" max="4371" min="4371" style="1" width="6.77"/>
    <col collapsed="false" customWidth="true" hidden="false" outlineLevel="0" max="4372" min="4372" style="1" width="7.11"/>
    <col collapsed="false" customWidth="true" hidden="false" outlineLevel="0" max="4373" min="4373" style="1" width="6.77"/>
    <col collapsed="false" customWidth="true" hidden="false" outlineLevel="0" max="4376" min="4374" style="1" width="6.33"/>
    <col collapsed="false" customWidth="false" hidden="false" outlineLevel="0" max="4608" min="4377" style="1" width="7.78"/>
    <col collapsed="false" customWidth="true" hidden="false" outlineLevel="0" max="4609" min="4609" style="1" width="8.88"/>
    <col collapsed="false" customWidth="true" hidden="false" outlineLevel="0" max="4610" min="4610" style="1" width="11.67"/>
    <col collapsed="false" customWidth="true" hidden="false" outlineLevel="0" max="4626" min="4611" style="1" width="6.11"/>
    <col collapsed="false" customWidth="true" hidden="false" outlineLevel="0" max="4627" min="4627" style="1" width="6.77"/>
    <col collapsed="false" customWidth="true" hidden="false" outlineLevel="0" max="4628" min="4628" style="1" width="7.11"/>
    <col collapsed="false" customWidth="true" hidden="false" outlineLevel="0" max="4629" min="4629" style="1" width="6.77"/>
    <col collapsed="false" customWidth="true" hidden="false" outlineLevel="0" max="4632" min="4630" style="1" width="6.33"/>
    <col collapsed="false" customWidth="false" hidden="false" outlineLevel="0" max="4864" min="4633" style="1" width="7.78"/>
    <col collapsed="false" customWidth="true" hidden="false" outlineLevel="0" max="4865" min="4865" style="1" width="8.88"/>
    <col collapsed="false" customWidth="true" hidden="false" outlineLevel="0" max="4866" min="4866" style="1" width="11.67"/>
    <col collapsed="false" customWidth="true" hidden="false" outlineLevel="0" max="4882" min="4867" style="1" width="6.11"/>
    <col collapsed="false" customWidth="true" hidden="false" outlineLevel="0" max="4883" min="4883" style="1" width="6.77"/>
    <col collapsed="false" customWidth="true" hidden="false" outlineLevel="0" max="4884" min="4884" style="1" width="7.11"/>
    <col collapsed="false" customWidth="true" hidden="false" outlineLevel="0" max="4885" min="4885" style="1" width="6.77"/>
    <col collapsed="false" customWidth="true" hidden="false" outlineLevel="0" max="4888" min="4886" style="1" width="6.33"/>
    <col collapsed="false" customWidth="false" hidden="false" outlineLevel="0" max="5120" min="4889" style="1" width="7.78"/>
    <col collapsed="false" customWidth="true" hidden="false" outlineLevel="0" max="5121" min="5121" style="1" width="8.88"/>
    <col collapsed="false" customWidth="true" hidden="false" outlineLevel="0" max="5122" min="5122" style="1" width="11.67"/>
    <col collapsed="false" customWidth="true" hidden="false" outlineLevel="0" max="5138" min="5123" style="1" width="6.11"/>
    <col collapsed="false" customWidth="true" hidden="false" outlineLevel="0" max="5139" min="5139" style="1" width="6.77"/>
    <col collapsed="false" customWidth="true" hidden="false" outlineLevel="0" max="5140" min="5140" style="1" width="7.11"/>
    <col collapsed="false" customWidth="true" hidden="false" outlineLevel="0" max="5141" min="5141" style="1" width="6.77"/>
    <col collapsed="false" customWidth="true" hidden="false" outlineLevel="0" max="5144" min="5142" style="1" width="6.33"/>
    <col collapsed="false" customWidth="false" hidden="false" outlineLevel="0" max="5376" min="5145" style="1" width="7.78"/>
    <col collapsed="false" customWidth="true" hidden="false" outlineLevel="0" max="5377" min="5377" style="1" width="8.88"/>
    <col collapsed="false" customWidth="true" hidden="false" outlineLevel="0" max="5378" min="5378" style="1" width="11.67"/>
    <col collapsed="false" customWidth="true" hidden="false" outlineLevel="0" max="5394" min="5379" style="1" width="6.11"/>
    <col collapsed="false" customWidth="true" hidden="false" outlineLevel="0" max="5395" min="5395" style="1" width="6.77"/>
    <col collapsed="false" customWidth="true" hidden="false" outlineLevel="0" max="5396" min="5396" style="1" width="7.11"/>
    <col collapsed="false" customWidth="true" hidden="false" outlineLevel="0" max="5397" min="5397" style="1" width="6.77"/>
    <col collapsed="false" customWidth="true" hidden="false" outlineLevel="0" max="5400" min="5398" style="1" width="6.33"/>
    <col collapsed="false" customWidth="false" hidden="false" outlineLevel="0" max="5632" min="5401" style="1" width="7.78"/>
    <col collapsed="false" customWidth="true" hidden="false" outlineLevel="0" max="5633" min="5633" style="1" width="8.88"/>
    <col collapsed="false" customWidth="true" hidden="false" outlineLevel="0" max="5634" min="5634" style="1" width="11.67"/>
    <col collapsed="false" customWidth="true" hidden="false" outlineLevel="0" max="5650" min="5635" style="1" width="6.11"/>
    <col collapsed="false" customWidth="true" hidden="false" outlineLevel="0" max="5651" min="5651" style="1" width="6.77"/>
    <col collapsed="false" customWidth="true" hidden="false" outlineLevel="0" max="5652" min="5652" style="1" width="7.11"/>
    <col collapsed="false" customWidth="true" hidden="false" outlineLevel="0" max="5653" min="5653" style="1" width="6.77"/>
    <col collapsed="false" customWidth="true" hidden="false" outlineLevel="0" max="5656" min="5654" style="1" width="6.33"/>
    <col collapsed="false" customWidth="false" hidden="false" outlineLevel="0" max="5888" min="5657" style="1" width="7.78"/>
    <col collapsed="false" customWidth="true" hidden="false" outlineLevel="0" max="5889" min="5889" style="1" width="8.88"/>
    <col collapsed="false" customWidth="true" hidden="false" outlineLevel="0" max="5890" min="5890" style="1" width="11.67"/>
    <col collapsed="false" customWidth="true" hidden="false" outlineLevel="0" max="5906" min="5891" style="1" width="6.11"/>
    <col collapsed="false" customWidth="true" hidden="false" outlineLevel="0" max="5907" min="5907" style="1" width="6.77"/>
    <col collapsed="false" customWidth="true" hidden="false" outlineLevel="0" max="5908" min="5908" style="1" width="7.11"/>
    <col collapsed="false" customWidth="true" hidden="false" outlineLevel="0" max="5909" min="5909" style="1" width="6.77"/>
    <col collapsed="false" customWidth="true" hidden="false" outlineLevel="0" max="5912" min="5910" style="1" width="6.33"/>
    <col collapsed="false" customWidth="false" hidden="false" outlineLevel="0" max="6144" min="5913" style="1" width="7.78"/>
    <col collapsed="false" customWidth="true" hidden="false" outlineLevel="0" max="6145" min="6145" style="1" width="8.88"/>
    <col collapsed="false" customWidth="true" hidden="false" outlineLevel="0" max="6146" min="6146" style="1" width="11.67"/>
    <col collapsed="false" customWidth="true" hidden="false" outlineLevel="0" max="6162" min="6147" style="1" width="6.11"/>
    <col collapsed="false" customWidth="true" hidden="false" outlineLevel="0" max="6163" min="6163" style="1" width="6.77"/>
    <col collapsed="false" customWidth="true" hidden="false" outlineLevel="0" max="6164" min="6164" style="1" width="7.11"/>
    <col collapsed="false" customWidth="true" hidden="false" outlineLevel="0" max="6165" min="6165" style="1" width="6.77"/>
    <col collapsed="false" customWidth="true" hidden="false" outlineLevel="0" max="6168" min="6166" style="1" width="6.33"/>
    <col collapsed="false" customWidth="false" hidden="false" outlineLevel="0" max="6400" min="6169" style="1" width="7.78"/>
    <col collapsed="false" customWidth="true" hidden="false" outlineLevel="0" max="6401" min="6401" style="1" width="8.88"/>
    <col collapsed="false" customWidth="true" hidden="false" outlineLevel="0" max="6402" min="6402" style="1" width="11.67"/>
    <col collapsed="false" customWidth="true" hidden="false" outlineLevel="0" max="6418" min="6403" style="1" width="6.11"/>
    <col collapsed="false" customWidth="true" hidden="false" outlineLevel="0" max="6419" min="6419" style="1" width="6.77"/>
    <col collapsed="false" customWidth="true" hidden="false" outlineLevel="0" max="6420" min="6420" style="1" width="7.11"/>
    <col collapsed="false" customWidth="true" hidden="false" outlineLevel="0" max="6421" min="6421" style="1" width="6.77"/>
    <col collapsed="false" customWidth="true" hidden="false" outlineLevel="0" max="6424" min="6422" style="1" width="6.33"/>
    <col collapsed="false" customWidth="false" hidden="false" outlineLevel="0" max="6656" min="6425" style="1" width="7.78"/>
    <col collapsed="false" customWidth="true" hidden="false" outlineLevel="0" max="6657" min="6657" style="1" width="8.88"/>
    <col collapsed="false" customWidth="true" hidden="false" outlineLevel="0" max="6658" min="6658" style="1" width="11.67"/>
    <col collapsed="false" customWidth="true" hidden="false" outlineLevel="0" max="6674" min="6659" style="1" width="6.11"/>
    <col collapsed="false" customWidth="true" hidden="false" outlineLevel="0" max="6675" min="6675" style="1" width="6.77"/>
    <col collapsed="false" customWidth="true" hidden="false" outlineLevel="0" max="6676" min="6676" style="1" width="7.11"/>
    <col collapsed="false" customWidth="true" hidden="false" outlineLevel="0" max="6677" min="6677" style="1" width="6.77"/>
    <col collapsed="false" customWidth="true" hidden="false" outlineLevel="0" max="6680" min="6678" style="1" width="6.33"/>
    <col collapsed="false" customWidth="false" hidden="false" outlineLevel="0" max="6912" min="6681" style="1" width="7.78"/>
    <col collapsed="false" customWidth="true" hidden="false" outlineLevel="0" max="6913" min="6913" style="1" width="8.88"/>
    <col collapsed="false" customWidth="true" hidden="false" outlineLevel="0" max="6914" min="6914" style="1" width="11.67"/>
    <col collapsed="false" customWidth="true" hidden="false" outlineLevel="0" max="6930" min="6915" style="1" width="6.11"/>
    <col collapsed="false" customWidth="true" hidden="false" outlineLevel="0" max="6931" min="6931" style="1" width="6.77"/>
    <col collapsed="false" customWidth="true" hidden="false" outlineLevel="0" max="6932" min="6932" style="1" width="7.11"/>
    <col collapsed="false" customWidth="true" hidden="false" outlineLevel="0" max="6933" min="6933" style="1" width="6.77"/>
    <col collapsed="false" customWidth="true" hidden="false" outlineLevel="0" max="6936" min="6934" style="1" width="6.33"/>
    <col collapsed="false" customWidth="false" hidden="false" outlineLevel="0" max="7168" min="6937" style="1" width="7.78"/>
    <col collapsed="false" customWidth="true" hidden="false" outlineLevel="0" max="7169" min="7169" style="1" width="8.88"/>
    <col collapsed="false" customWidth="true" hidden="false" outlineLevel="0" max="7170" min="7170" style="1" width="11.67"/>
    <col collapsed="false" customWidth="true" hidden="false" outlineLevel="0" max="7186" min="7171" style="1" width="6.11"/>
    <col collapsed="false" customWidth="true" hidden="false" outlineLevel="0" max="7187" min="7187" style="1" width="6.77"/>
    <col collapsed="false" customWidth="true" hidden="false" outlineLevel="0" max="7188" min="7188" style="1" width="7.11"/>
    <col collapsed="false" customWidth="true" hidden="false" outlineLevel="0" max="7189" min="7189" style="1" width="6.77"/>
    <col collapsed="false" customWidth="true" hidden="false" outlineLevel="0" max="7192" min="7190" style="1" width="6.33"/>
    <col collapsed="false" customWidth="false" hidden="false" outlineLevel="0" max="7424" min="7193" style="1" width="7.78"/>
    <col collapsed="false" customWidth="true" hidden="false" outlineLevel="0" max="7425" min="7425" style="1" width="8.88"/>
    <col collapsed="false" customWidth="true" hidden="false" outlineLevel="0" max="7426" min="7426" style="1" width="11.67"/>
    <col collapsed="false" customWidth="true" hidden="false" outlineLevel="0" max="7442" min="7427" style="1" width="6.11"/>
    <col collapsed="false" customWidth="true" hidden="false" outlineLevel="0" max="7443" min="7443" style="1" width="6.77"/>
    <col collapsed="false" customWidth="true" hidden="false" outlineLevel="0" max="7444" min="7444" style="1" width="7.11"/>
    <col collapsed="false" customWidth="true" hidden="false" outlineLevel="0" max="7445" min="7445" style="1" width="6.77"/>
    <col collapsed="false" customWidth="true" hidden="false" outlineLevel="0" max="7448" min="7446" style="1" width="6.33"/>
    <col collapsed="false" customWidth="false" hidden="false" outlineLevel="0" max="7680" min="7449" style="1" width="7.78"/>
    <col collapsed="false" customWidth="true" hidden="false" outlineLevel="0" max="7681" min="7681" style="1" width="8.88"/>
    <col collapsed="false" customWidth="true" hidden="false" outlineLevel="0" max="7682" min="7682" style="1" width="11.67"/>
    <col collapsed="false" customWidth="true" hidden="false" outlineLevel="0" max="7698" min="7683" style="1" width="6.11"/>
    <col collapsed="false" customWidth="true" hidden="false" outlineLevel="0" max="7699" min="7699" style="1" width="6.77"/>
    <col collapsed="false" customWidth="true" hidden="false" outlineLevel="0" max="7700" min="7700" style="1" width="7.11"/>
    <col collapsed="false" customWidth="true" hidden="false" outlineLevel="0" max="7701" min="7701" style="1" width="6.77"/>
    <col collapsed="false" customWidth="true" hidden="false" outlineLevel="0" max="7704" min="7702" style="1" width="6.33"/>
    <col collapsed="false" customWidth="false" hidden="false" outlineLevel="0" max="7936" min="7705" style="1" width="7.78"/>
    <col collapsed="false" customWidth="true" hidden="false" outlineLevel="0" max="7937" min="7937" style="1" width="8.88"/>
    <col collapsed="false" customWidth="true" hidden="false" outlineLevel="0" max="7938" min="7938" style="1" width="11.67"/>
    <col collapsed="false" customWidth="true" hidden="false" outlineLevel="0" max="7954" min="7939" style="1" width="6.11"/>
    <col collapsed="false" customWidth="true" hidden="false" outlineLevel="0" max="7955" min="7955" style="1" width="6.77"/>
    <col collapsed="false" customWidth="true" hidden="false" outlineLevel="0" max="7956" min="7956" style="1" width="7.11"/>
    <col collapsed="false" customWidth="true" hidden="false" outlineLevel="0" max="7957" min="7957" style="1" width="6.77"/>
    <col collapsed="false" customWidth="true" hidden="false" outlineLevel="0" max="7960" min="7958" style="1" width="6.33"/>
    <col collapsed="false" customWidth="false" hidden="false" outlineLevel="0" max="8192" min="7961" style="1" width="7.78"/>
    <col collapsed="false" customWidth="true" hidden="false" outlineLevel="0" max="8193" min="8193" style="1" width="8.88"/>
    <col collapsed="false" customWidth="true" hidden="false" outlineLevel="0" max="8194" min="8194" style="1" width="11.67"/>
    <col collapsed="false" customWidth="true" hidden="false" outlineLevel="0" max="8210" min="8195" style="1" width="6.11"/>
    <col collapsed="false" customWidth="true" hidden="false" outlineLevel="0" max="8211" min="8211" style="1" width="6.77"/>
    <col collapsed="false" customWidth="true" hidden="false" outlineLevel="0" max="8212" min="8212" style="1" width="7.11"/>
    <col collapsed="false" customWidth="true" hidden="false" outlineLevel="0" max="8213" min="8213" style="1" width="6.77"/>
    <col collapsed="false" customWidth="true" hidden="false" outlineLevel="0" max="8216" min="8214" style="1" width="6.33"/>
    <col collapsed="false" customWidth="false" hidden="false" outlineLevel="0" max="8448" min="8217" style="1" width="7.78"/>
    <col collapsed="false" customWidth="true" hidden="false" outlineLevel="0" max="8449" min="8449" style="1" width="8.88"/>
    <col collapsed="false" customWidth="true" hidden="false" outlineLevel="0" max="8450" min="8450" style="1" width="11.67"/>
    <col collapsed="false" customWidth="true" hidden="false" outlineLevel="0" max="8466" min="8451" style="1" width="6.11"/>
    <col collapsed="false" customWidth="true" hidden="false" outlineLevel="0" max="8467" min="8467" style="1" width="6.77"/>
    <col collapsed="false" customWidth="true" hidden="false" outlineLevel="0" max="8468" min="8468" style="1" width="7.11"/>
    <col collapsed="false" customWidth="true" hidden="false" outlineLevel="0" max="8469" min="8469" style="1" width="6.77"/>
    <col collapsed="false" customWidth="true" hidden="false" outlineLevel="0" max="8472" min="8470" style="1" width="6.33"/>
    <col collapsed="false" customWidth="false" hidden="false" outlineLevel="0" max="8704" min="8473" style="1" width="7.78"/>
    <col collapsed="false" customWidth="true" hidden="false" outlineLevel="0" max="8705" min="8705" style="1" width="8.88"/>
    <col collapsed="false" customWidth="true" hidden="false" outlineLevel="0" max="8706" min="8706" style="1" width="11.67"/>
    <col collapsed="false" customWidth="true" hidden="false" outlineLevel="0" max="8722" min="8707" style="1" width="6.11"/>
    <col collapsed="false" customWidth="true" hidden="false" outlineLevel="0" max="8723" min="8723" style="1" width="6.77"/>
    <col collapsed="false" customWidth="true" hidden="false" outlineLevel="0" max="8724" min="8724" style="1" width="7.11"/>
    <col collapsed="false" customWidth="true" hidden="false" outlineLevel="0" max="8725" min="8725" style="1" width="6.77"/>
    <col collapsed="false" customWidth="true" hidden="false" outlineLevel="0" max="8728" min="8726" style="1" width="6.33"/>
    <col collapsed="false" customWidth="false" hidden="false" outlineLevel="0" max="8960" min="8729" style="1" width="7.78"/>
    <col collapsed="false" customWidth="true" hidden="false" outlineLevel="0" max="8961" min="8961" style="1" width="8.88"/>
    <col collapsed="false" customWidth="true" hidden="false" outlineLevel="0" max="8962" min="8962" style="1" width="11.67"/>
    <col collapsed="false" customWidth="true" hidden="false" outlineLevel="0" max="8978" min="8963" style="1" width="6.11"/>
    <col collapsed="false" customWidth="true" hidden="false" outlineLevel="0" max="8979" min="8979" style="1" width="6.77"/>
    <col collapsed="false" customWidth="true" hidden="false" outlineLevel="0" max="8980" min="8980" style="1" width="7.11"/>
    <col collapsed="false" customWidth="true" hidden="false" outlineLevel="0" max="8981" min="8981" style="1" width="6.77"/>
    <col collapsed="false" customWidth="true" hidden="false" outlineLevel="0" max="8984" min="8982" style="1" width="6.33"/>
    <col collapsed="false" customWidth="false" hidden="false" outlineLevel="0" max="9216" min="8985" style="1" width="7.78"/>
    <col collapsed="false" customWidth="true" hidden="false" outlineLevel="0" max="9217" min="9217" style="1" width="8.88"/>
    <col collapsed="false" customWidth="true" hidden="false" outlineLevel="0" max="9218" min="9218" style="1" width="11.67"/>
    <col collapsed="false" customWidth="true" hidden="false" outlineLevel="0" max="9234" min="9219" style="1" width="6.11"/>
    <col collapsed="false" customWidth="true" hidden="false" outlineLevel="0" max="9235" min="9235" style="1" width="6.77"/>
    <col collapsed="false" customWidth="true" hidden="false" outlineLevel="0" max="9236" min="9236" style="1" width="7.11"/>
    <col collapsed="false" customWidth="true" hidden="false" outlineLevel="0" max="9237" min="9237" style="1" width="6.77"/>
    <col collapsed="false" customWidth="true" hidden="false" outlineLevel="0" max="9240" min="9238" style="1" width="6.33"/>
    <col collapsed="false" customWidth="false" hidden="false" outlineLevel="0" max="9472" min="9241" style="1" width="7.78"/>
    <col collapsed="false" customWidth="true" hidden="false" outlineLevel="0" max="9473" min="9473" style="1" width="8.88"/>
    <col collapsed="false" customWidth="true" hidden="false" outlineLevel="0" max="9474" min="9474" style="1" width="11.67"/>
    <col collapsed="false" customWidth="true" hidden="false" outlineLevel="0" max="9490" min="9475" style="1" width="6.11"/>
    <col collapsed="false" customWidth="true" hidden="false" outlineLevel="0" max="9491" min="9491" style="1" width="6.77"/>
    <col collapsed="false" customWidth="true" hidden="false" outlineLevel="0" max="9492" min="9492" style="1" width="7.11"/>
    <col collapsed="false" customWidth="true" hidden="false" outlineLevel="0" max="9493" min="9493" style="1" width="6.77"/>
    <col collapsed="false" customWidth="true" hidden="false" outlineLevel="0" max="9496" min="9494" style="1" width="6.33"/>
    <col collapsed="false" customWidth="false" hidden="false" outlineLevel="0" max="9728" min="9497" style="1" width="7.78"/>
    <col collapsed="false" customWidth="true" hidden="false" outlineLevel="0" max="9729" min="9729" style="1" width="8.88"/>
    <col collapsed="false" customWidth="true" hidden="false" outlineLevel="0" max="9730" min="9730" style="1" width="11.67"/>
    <col collapsed="false" customWidth="true" hidden="false" outlineLevel="0" max="9746" min="9731" style="1" width="6.11"/>
    <col collapsed="false" customWidth="true" hidden="false" outlineLevel="0" max="9747" min="9747" style="1" width="6.77"/>
    <col collapsed="false" customWidth="true" hidden="false" outlineLevel="0" max="9748" min="9748" style="1" width="7.11"/>
    <col collapsed="false" customWidth="true" hidden="false" outlineLevel="0" max="9749" min="9749" style="1" width="6.77"/>
    <col collapsed="false" customWidth="true" hidden="false" outlineLevel="0" max="9752" min="9750" style="1" width="6.33"/>
    <col collapsed="false" customWidth="false" hidden="false" outlineLevel="0" max="9984" min="9753" style="1" width="7.78"/>
    <col collapsed="false" customWidth="true" hidden="false" outlineLevel="0" max="9985" min="9985" style="1" width="8.88"/>
    <col collapsed="false" customWidth="true" hidden="false" outlineLevel="0" max="9986" min="9986" style="1" width="11.67"/>
    <col collapsed="false" customWidth="true" hidden="false" outlineLevel="0" max="10002" min="9987" style="1" width="6.11"/>
    <col collapsed="false" customWidth="true" hidden="false" outlineLevel="0" max="10003" min="10003" style="1" width="6.77"/>
    <col collapsed="false" customWidth="true" hidden="false" outlineLevel="0" max="10004" min="10004" style="1" width="7.11"/>
    <col collapsed="false" customWidth="true" hidden="false" outlineLevel="0" max="10005" min="10005" style="1" width="6.77"/>
    <col collapsed="false" customWidth="true" hidden="false" outlineLevel="0" max="10008" min="10006" style="1" width="6.33"/>
    <col collapsed="false" customWidth="false" hidden="false" outlineLevel="0" max="10240" min="10009" style="1" width="7.78"/>
    <col collapsed="false" customWidth="true" hidden="false" outlineLevel="0" max="10241" min="10241" style="1" width="8.88"/>
    <col collapsed="false" customWidth="true" hidden="false" outlineLevel="0" max="10242" min="10242" style="1" width="11.67"/>
    <col collapsed="false" customWidth="true" hidden="false" outlineLevel="0" max="10258" min="10243" style="1" width="6.11"/>
    <col collapsed="false" customWidth="true" hidden="false" outlineLevel="0" max="10259" min="10259" style="1" width="6.77"/>
    <col collapsed="false" customWidth="true" hidden="false" outlineLevel="0" max="10260" min="10260" style="1" width="7.11"/>
    <col collapsed="false" customWidth="true" hidden="false" outlineLevel="0" max="10261" min="10261" style="1" width="6.77"/>
    <col collapsed="false" customWidth="true" hidden="false" outlineLevel="0" max="10264" min="10262" style="1" width="6.33"/>
    <col collapsed="false" customWidth="false" hidden="false" outlineLevel="0" max="10496" min="10265" style="1" width="7.78"/>
    <col collapsed="false" customWidth="true" hidden="false" outlineLevel="0" max="10497" min="10497" style="1" width="8.88"/>
    <col collapsed="false" customWidth="true" hidden="false" outlineLevel="0" max="10498" min="10498" style="1" width="11.67"/>
    <col collapsed="false" customWidth="true" hidden="false" outlineLevel="0" max="10514" min="10499" style="1" width="6.11"/>
    <col collapsed="false" customWidth="true" hidden="false" outlineLevel="0" max="10515" min="10515" style="1" width="6.77"/>
    <col collapsed="false" customWidth="true" hidden="false" outlineLevel="0" max="10516" min="10516" style="1" width="7.11"/>
    <col collapsed="false" customWidth="true" hidden="false" outlineLevel="0" max="10517" min="10517" style="1" width="6.77"/>
    <col collapsed="false" customWidth="true" hidden="false" outlineLevel="0" max="10520" min="10518" style="1" width="6.33"/>
    <col collapsed="false" customWidth="false" hidden="false" outlineLevel="0" max="10752" min="10521" style="1" width="7.78"/>
    <col collapsed="false" customWidth="true" hidden="false" outlineLevel="0" max="10753" min="10753" style="1" width="8.88"/>
    <col collapsed="false" customWidth="true" hidden="false" outlineLevel="0" max="10754" min="10754" style="1" width="11.67"/>
    <col collapsed="false" customWidth="true" hidden="false" outlineLevel="0" max="10770" min="10755" style="1" width="6.11"/>
    <col collapsed="false" customWidth="true" hidden="false" outlineLevel="0" max="10771" min="10771" style="1" width="6.77"/>
    <col collapsed="false" customWidth="true" hidden="false" outlineLevel="0" max="10772" min="10772" style="1" width="7.11"/>
    <col collapsed="false" customWidth="true" hidden="false" outlineLevel="0" max="10773" min="10773" style="1" width="6.77"/>
    <col collapsed="false" customWidth="true" hidden="false" outlineLevel="0" max="10776" min="10774" style="1" width="6.33"/>
    <col collapsed="false" customWidth="false" hidden="false" outlineLevel="0" max="11008" min="10777" style="1" width="7.78"/>
    <col collapsed="false" customWidth="true" hidden="false" outlineLevel="0" max="11009" min="11009" style="1" width="8.88"/>
    <col collapsed="false" customWidth="true" hidden="false" outlineLevel="0" max="11010" min="11010" style="1" width="11.67"/>
    <col collapsed="false" customWidth="true" hidden="false" outlineLevel="0" max="11026" min="11011" style="1" width="6.11"/>
    <col collapsed="false" customWidth="true" hidden="false" outlineLevel="0" max="11027" min="11027" style="1" width="6.77"/>
    <col collapsed="false" customWidth="true" hidden="false" outlineLevel="0" max="11028" min="11028" style="1" width="7.11"/>
    <col collapsed="false" customWidth="true" hidden="false" outlineLevel="0" max="11029" min="11029" style="1" width="6.77"/>
    <col collapsed="false" customWidth="true" hidden="false" outlineLevel="0" max="11032" min="11030" style="1" width="6.33"/>
    <col collapsed="false" customWidth="false" hidden="false" outlineLevel="0" max="11264" min="11033" style="1" width="7.78"/>
    <col collapsed="false" customWidth="true" hidden="false" outlineLevel="0" max="11265" min="11265" style="1" width="8.88"/>
    <col collapsed="false" customWidth="true" hidden="false" outlineLevel="0" max="11266" min="11266" style="1" width="11.67"/>
    <col collapsed="false" customWidth="true" hidden="false" outlineLevel="0" max="11282" min="11267" style="1" width="6.11"/>
    <col collapsed="false" customWidth="true" hidden="false" outlineLevel="0" max="11283" min="11283" style="1" width="6.77"/>
    <col collapsed="false" customWidth="true" hidden="false" outlineLevel="0" max="11284" min="11284" style="1" width="7.11"/>
    <col collapsed="false" customWidth="true" hidden="false" outlineLevel="0" max="11285" min="11285" style="1" width="6.77"/>
    <col collapsed="false" customWidth="true" hidden="false" outlineLevel="0" max="11288" min="11286" style="1" width="6.33"/>
    <col collapsed="false" customWidth="false" hidden="false" outlineLevel="0" max="11520" min="11289" style="1" width="7.78"/>
    <col collapsed="false" customWidth="true" hidden="false" outlineLevel="0" max="11521" min="11521" style="1" width="8.88"/>
    <col collapsed="false" customWidth="true" hidden="false" outlineLevel="0" max="11522" min="11522" style="1" width="11.67"/>
    <col collapsed="false" customWidth="true" hidden="false" outlineLevel="0" max="11538" min="11523" style="1" width="6.11"/>
    <col collapsed="false" customWidth="true" hidden="false" outlineLevel="0" max="11539" min="11539" style="1" width="6.77"/>
    <col collapsed="false" customWidth="true" hidden="false" outlineLevel="0" max="11540" min="11540" style="1" width="7.11"/>
    <col collapsed="false" customWidth="true" hidden="false" outlineLevel="0" max="11541" min="11541" style="1" width="6.77"/>
    <col collapsed="false" customWidth="true" hidden="false" outlineLevel="0" max="11544" min="11542" style="1" width="6.33"/>
    <col collapsed="false" customWidth="false" hidden="false" outlineLevel="0" max="11776" min="11545" style="1" width="7.78"/>
    <col collapsed="false" customWidth="true" hidden="false" outlineLevel="0" max="11777" min="11777" style="1" width="8.88"/>
    <col collapsed="false" customWidth="true" hidden="false" outlineLevel="0" max="11778" min="11778" style="1" width="11.67"/>
    <col collapsed="false" customWidth="true" hidden="false" outlineLevel="0" max="11794" min="11779" style="1" width="6.11"/>
    <col collapsed="false" customWidth="true" hidden="false" outlineLevel="0" max="11795" min="11795" style="1" width="6.77"/>
    <col collapsed="false" customWidth="true" hidden="false" outlineLevel="0" max="11796" min="11796" style="1" width="7.11"/>
    <col collapsed="false" customWidth="true" hidden="false" outlineLevel="0" max="11797" min="11797" style="1" width="6.77"/>
    <col collapsed="false" customWidth="true" hidden="false" outlineLevel="0" max="11800" min="11798" style="1" width="6.33"/>
    <col collapsed="false" customWidth="false" hidden="false" outlineLevel="0" max="12032" min="11801" style="1" width="7.78"/>
    <col collapsed="false" customWidth="true" hidden="false" outlineLevel="0" max="12033" min="12033" style="1" width="8.88"/>
    <col collapsed="false" customWidth="true" hidden="false" outlineLevel="0" max="12034" min="12034" style="1" width="11.67"/>
    <col collapsed="false" customWidth="true" hidden="false" outlineLevel="0" max="12050" min="12035" style="1" width="6.11"/>
    <col collapsed="false" customWidth="true" hidden="false" outlineLevel="0" max="12051" min="12051" style="1" width="6.77"/>
    <col collapsed="false" customWidth="true" hidden="false" outlineLevel="0" max="12052" min="12052" style="1" width="7.11"/>
    <col collapsed="false" customWidth="true" hidden="false" outlineLevel="0" max="12053" min="12053" style="1" width="6.77"/>
    <col collapsed="false" customWidth="true" hidden="false" outlineLevel="0" max="12056" min="12054" style="1" width="6.33"/>
    <col collapsed="false" customWidth="false" hidden="false" outlineLevel="0" max="12288" min="12057" style="1" width="7.78"/>
    <col collapsed="false" customWidth="true" hidden="false" outlineLevel="0" max="12289" min="12289" style="1" width="8.88"/>
    <col collapsed="false" customWidth="true" hidden="false" outlineLevel="0" max="12290" min="12290" style="1" width="11.67"/>
    <col collapsed="false" customWidth="true" hidden="false" outlineLevel="0" max="12306" min="12291" style="1" width="6.11"/>
    <col collapsed="false" customWidth="true" hidden="false" outlineLevel="0" max="12307" min="12307" style="1" width="6.77"/>
    <col collapsed="false" customWidth="true" hidden="false" outlineLevel="0" max="12308" min="12308" style="1" width="7.11"/>
    <col collapsed="false" customWidth="true" hidden="false" outlineLevel="0" max="12309" min="12309" style="1" width="6.77"/>
    <col collapsed="false" customWidth="true" hidden="false" outlineLevel="0" max="12312" min="12310" style="1" width="6.33"/>
    <col collapsed="false" customWidth="false" hidden="false" outlineLevel="0" max="12544" min="12313" style="1" width="7.78"/>
    <col collapsed="false" customWidth="true" hidden="false" outlineLevel="0" max="12545" min="12545" style="1" width="8.88"/>
    <col collapsed="false" customWidth="true" hidden="false" outlineLevel="0" max="12546" min="12546" style="1" width="11.67"/>
    <col collapsed="false" customWidth="true" hidden="false" outlineLevel="0" max="12562" min="12547" style="1" width="6.11"/>
    <col collapsed="false" customWidth="true" hidden="false" outlineLevel="0" max="12563" min="12563" style="1" width="6.77"/>
    <col collapsed="false" customWidth="true" hidden="false" outlineLevel="0" max="12564" min="12564" style="1" width="7.11"/>
    <col collapsed="false" customWidth="true" hidden="false" outlineLevel="0" max="12565" min="12565" style="1" width="6.77"/>
    <col collapsed="false" customWidth="true" hidden="false" outlineLevel="0" max="12568" min="12566" style="1" width="6.33"/>
    <col collapsed="false" customWidth="false" hidden="false" outlineLevel="0" max="12800" min="12569" style="1" width="7.78"/>
    <col collapsed="false" customWidth="true" hidden="false" outlineLevel="0" max="12801" min="12801" style="1" width="8.88"/>
    <col collapsed="false" customWidth="true" hidden="false" outlineLevel="0" max="12802" min="12802" style="1" width="11.67"/>
    <col collapsed="false" customWidth="true" hidden="false" outlineLevel="0" max="12818" min="12803" style="1" width="6.11"/>
    <col collapsed="false" customWidth="true" hidden="false" outlineLevel="0" max="12819" min="12819" style="1" width="6.77"/>
    <col collapsed="false" customWidth="true" hidden="false" outlineLevel="0" max="12820" min="12820" style="1" width="7.11"/>
    <col collapsed="false" customWidth="true" hidden="false" outlineLevel="0" max="12821" min="12821" style="1" width="6.77"/>
    <col collapsed="false" customWidth="true" hidden="false" outlineLevel="0" max="12824" min="12822" style="1" width="6.33"/>
    <col collapsed="false" customWidth="false" hidden="false" outlineLevel="0" max="13056" min="12825" style="1" width="7.78"/>
    <col collapsed="false" customWidth="true" hidden="false" outlineLevel="0" max="13057" min="13057" style="1" width="8.88"/>
    <col collapsed="false" customWidth="true" hidden="false" outlineLevel="0" max="13058" min="13058" style="1" width="11.67"/>
    <col collapsed="false" customWidth="true" hidden="false" outlineLevel="0" max="13074" min="13059" style="1" width="6.11"/>
    <col collapsed="false" customWidth="true" hidden="false" outlineLevel="0" max="13075" min="13075" style="1" width="6.77"/>
    <col collapsed="false" customWidth="true" hidden="false" outlineLevel="0" max="13076" min="13076" style="1" width="7.11"/>
    <col collapsed="false" customWidth="true" hidden="false" outlineLevel="0" max="13077" min="13077" style="1" width="6.77"/>
    <col collapsed="false" customWidth="true" hidden="false" outlineLevel="0" max="13080" min="13078" style="1" width="6.33"/>
    <col collapsed="false" customWidth="false" hidden="false" outlineLevel="0" max="13312" min="13081" style="1" width="7.78"/>
    <col collapsed="false" customWidth="true" hidden="false" outlineLevel="0" max="13313" min="13313" style="1" width="8.88"/>
    <col collapsed="false" customWidth="true" hidden="false" outlineLevel="0" max="13314" min="13314" style="1" width="11.67"/>
    <col collapsed="false" customWidth="true" hidden="false" outlineLevel="0" max="13330" min="13315" style="1" width="6.11"/>
    <col collapsed="false" customWidth="true" hidden="false" outlineLevel="0" max="13331" min="13331" style="1" width="6.77"/>
    <col collapsed="false" customWidth="true" hidden="false" outlineLevel="0" max="13332" min="13332" style="1" width="7.11"/>
    <col collapsed="false" customWidth="true" hidden="false" outlineLevel="0" max="13333" min="13333" style="1" width="6.77"/>
    <col collapsed="false" customWidth="true" hidden="false" outlineLevel="0" max="13336" min="13334" style="1" width="6.33"/>
    <col collapsed="false" customWidth="false" hidden="false" outlineLevel="0" max="13568" min="13337" style="1" width="7.78"/>
    <col collapsed="false" customWidth="true" hidden="false" outlineLevel="0" max="13569" min="13569" style="1" width="8.88"/>
    <col collapsed="false" customWidth="true" hidden="false" outlineLevel="0" max="13570" min="13570" style="1" width="11.67"/>
    <col collapsed="false" customWidth="true" hidden="false" outlineLevel="0" max="13586" min="13571" style="1" width="6.11"/>
    <col collapsed="false" customWidth="true" hidden="false" outlineLevel="0" max="13587" min="13587" style="1" width="6.77"/>
    <col collapsed="false" customWidth="true" hidden="false" outlineLevel="0" max="13588" min="13588" style="1" width="7.11"/>
    <col collapsed="false" customWidth="true" hidden="false" outlineLevel="0" max="13589" min="13589" style="1" width="6.77"/>
    <col collapsed="false" customWidth="true" hidden="false" outlineLevel="0" max="13592" min="13590" style="1" width="6.33"/>
    <col collapsed="false" customWidth="false" hidden="false" outlineLevel="0" max="13824" min="13593" style="1" width="7.78"/>
    <col collapsed="false" customWidth="true" hidden="false" outlineLevel="0" max="13825" min="13825" style="1" width="8.88"/>
    <col collapsed="false" customWidth="true" hidden="false" outlineLevel="0" max="13826" min="13826" style="1" width="11.67"/>
    <col collapsed="false" customWidth="true" hidden="false" outlineLevel="0" max="13842" min="13827" style="1" width="6.11"/>
    <col collapsed="false" customWidth="true" hidden="false" outlineLevel="0" max="13843" min="13843" style="1" width="6.77"/>
    <col collapsed="false" customWidth="true" hidden="false" outlineLevel="0" max="13844" min="13844" style="1" width="7.11"/>
    <col collapsed="false" customWidth="true" hidden="false" outlineLevel="0" max="13845" min="13845" style="1" width="6.77"/>
    <col collapsed="false" customWidth="true" hidden="false" outlineLevel="0" max="13848" min="13846" style="1" width="6.33"/>
    <col collapsed="false" customWidth="false" hidden="false" outlineLevel="0" max="14080" min="13849" style="1" width="7.78"/>
    <col collapsed="false" customWidth="true" hidden="false" outlineLevel="0" max="14081" min="14081" style="1" width="8.88"/>
    <col collapsed="false" customWidth="true" hidden="false" outlineLevel="0" max="14082" min="14082" style="1" width="11.67"/>
    <col collapsed="false" customWidth="true" hidden="false" outlineLevel="0" max="14098" min="14083" style="1" width="6.11"/>
    <col collapsed="false" customWidth="true" hidden="false" outlineLevel="0" max="14099" min="14099" style="1" width="6.77"/>
    <col collapsed="false" customWidth="true" hidden="false" outlineLevel="0" max="14100" min="14100" style="1" width="7.11"/>
    <col collapsed="false" customWidth="true" hidden="false" outlineLevel="0" max="14101" min="14101" style="1" width="6.77"/>
    <col collapsed="false" customWidth="true" hidden="false" outlineLevel="0" max="14104" min="14102" style="1" width="6.33"/>
    <col collapsed="false" customWidth="false" hidden="false" outlineLevel="0" max="14336" min="14105" style="1" width="7.78"/>
    <col collapsed="false" customWidth="true" hidden="false" outlineLevel="0" max="14337" min="14337" style="1" width="8.88"/>
    <col collapsed="false" customWidth="true" hidden="false" outlineLevel="0" max="14338" min="14338" style="1" width="11.67"/>
    <col collapsed="false" customWidth="true" hidden="false" outlineLevel="0" max="14354" min="14339" style="1" width="6.11"/>
    <col collapsed="false" customWidth="true" hidden="false" outlineLevel="0" max="14355" min="14355" style="1" width="6.77"/>
    <col collapsed="false" customWidth="true" hidden="false" outlineLevel="0" max="14356" min="14356" style="1" width="7.11"/>
    <col collapsed="false" customWidth="true" hidden="false" outlineLevel="0" max="14357" min="14357" style="1" width="6.77"/>
    <col collapsed="false" customWidth="true" hidden="false" outlineLevel="0" max="14360" min="14358" style="1" width="6.33"/>
    <col collapsed="false" customWidth="false" hidden="false" outlineLevel="0" max="14592" min="14361" style="1" width="7.78"/>
    <col collapsed="false" customWidth="true" hidden="false" outlineLevel="0" max="14593" min="14593" style="1" width="8.88"/>
    <col collapsed="false" customWidth="true" hidden="false" outlineLevel="0" max="14594" min="14594" style="1" width="11.67"/>
    <col collapsed="false" customWidth="true" hidden="false" outlineLevel="0" max="14610" min="14595" style="1" width="6.11"/>
    <col collapsed="false" customWidth="true" hidden="false" outlineLevel="0" max="14611" min="14611" style="1" width="6.77"/>
    <col collapsed="false" customWidth="true" hidden="false" outlineLevel="0" max="14612" min="14612" style="1" width="7.11"/>
    <col collapsed="false" customWidth="true" hidden="false" outlineLevel="0" max="14613" min="14613" style="1" width="6.77"/>
    <col collapsed="false" customWidth="true" hidden="false" outlineLevel="0" max="14616" min="14614" style="1" width="6.33"/>
    <col collapsed="false" customWidth="false" hidden="false" outlineLevel="0" max="14848" min="14617" style="1" width="7.78"/>
    <col collapsed="false" customWidth="true" hidden="false" outlineLevel="0" max="14849" min="14849" style="1" width="8.88"/>
    <col collapsed="false" customWidth="true" hidden="false" outlineLevel="0" max="14850" min="14850" style="1" width="11.67"/>
    <col collapsed="false" customWidth="true" hidden="false" outlineLevel="0" max="14866" min="14851" style="1" width="6.11"/>
    <col collapsed="false" customWidth="true" hidden="false" outlineLevel="0" max="14867" min="14867" style="1" width="6.77"/>
    <col collapsed="false" customWidth="true" hidden="false" outlineLevel="0" max="14868" min="14868" style="1" width="7.11"/>
    <col collapsed="false" customWidth="true" hidden="false" outlineLevel="0" max="14869" min="14869" style="1" width="6.77"/>
    <col collapsed="false" customWidth="true" hidden="false" outlineLevel="0" max="14872" min="14870" style="1" width="6.33"/>
    <col collapsed="false" customWidth="false" hidden="false" outlineLevel="0" max="15104" min="14873" style="1" width="7.78"/>
    <col collapsed="false" customWidth="true" hidden="false" outlineLevel="0" max="15105" min="15105" style="1" width="8.88"/>
    <col collapsed="false" customWidth="true" hidden="false" outlineLevel="0" max="15106" min="15106" style="1" width="11.67"/>
    <col collapsed="false" customWidth="true" hidden="false" outlineLevel="0" max="15122" min="15107" style="1" width="6.11"/>
    <col collapsed="false" customWidth="true" hidden="false" outlineLevel="0" max="15123" min="15123" style="1" width="6.77"/>
    <col collapsed="false" customWidth="true" hidden="false" outlineLevel="0" max="15124" min="15124" style="1" width="7.11"/>
    <col collapsed="false" customWidth="true" hidden="false" outlineLevel="0" max="15125" min="15125" style="1" width="6.77"/>
    <col collapsed="false" customWidth="true" hidden="false" outlineLevel="0" max="15128" min="15126" style="1" width="6.33"/>
    <col collapsed="false" customWidth="false" hidden="false" outlineLevel="0" max="15360" min="15129" style="1" width="7.78"/>
    <col collapsed="false" customWidth="true" hidden="false" outlineLevel="0" max="15361" min="15361" style="1" width="8.88"/>
    <col collapsed="false" customWidth="true" hidden="false" outlineLevel="0" max="15362" min="15362" style="1" width="11.67"/>
    <col collapsed="false" customWidth="true" hidden="false" outlineLevel="0" max="15378" min="15363" style="1" width="6.11"/>
    <col collapsed="false" customWidth="true" hidden="false" outlineLevel="0" max="15379" min="15379" style="1" width="6.77"/>
    <col collapsed="false" customWidth="true" hidden="false" outlineLevel="0" max="15380" min="15380" style="1" width="7.11"/>
    <col collapsed="false" customWidth="true" hidden="false" outlineLevel="0" max="15381" min="15381" style="1" width="6.77"/>
    <col collapsed="false" customWidth="true" hidden="false" outlineLevel="0" max="15384" min="15382" style="1" width="6.33"/>
    <col collapsed="false" customWidth="false" hidden="false" outlineLevel="0" max="15616" min="15385" style="1" width="7.78"/>
    <col collapsed="false" customWidth="true" hidden="false" outlineLevel="0" max="15617" min="15617" style="1" width="8.88"/>
    <col collapsed="false" customWidth="true" hidden="false" outlineLevel="0" max="15618" min="15618" style="1" width="11.67"/>
    <col collapsed="false" customWidth="true" hidden="false" outlineLevel="0" max="15634" min="15619" style="1" width="6.11"/>
    <col collapsed="false" customWidth="true" hidden="false" outlineLevel="0" max="15635" min="15635" style="1" width="6.77"/>
    <col collapsed="false" customWidth="true" hidden="false" outlineLevel="0" max="15636" min="15636" style="1" width="7.11"/>
    <col collapsed="false" customWidth="true" hidden="false" outlineLevel="0" max="15637" min="15637" style="1" width="6.77"/>
    <col collapsed="false" customWidth="true" hidden="false" outlineLevel="0" max="15640" min="15638" style="1" width="6.33"/>
    <col collapsed="false" customWidth="false" hidden="false" outlineLevel="0" max="15872" min="15641" style="1" width="7.78"/>
    <col collapsed="false" customWidth="true" hidden="false" outlineLevel="0" max="15873" min="15873" style="1" width="8.88"/>
    <col collapsed="false" customWidth="true" hidden="false" outlineLevel="0" max="15874" min="15874" style="1" width="11.67"/>
    <col collapsed="false" customWidth="true" hidden="false" outlineLevel="0" max="15890" min="15875" style="1" width="6.11"/>
    <col collapsed="false" customWidth="true" hidden="false" outlineLevel="0" max="15891" min="15891" style="1" width="6.77"/>
    <col collapsed="false" customWidth="true" hidden="false" outlineLevel="0" max="15892" min="15892" style="1" width="7.11"/>
    <col collapsed="false" customWidth="true" hidden="false" outlineLevel="0" max="15893" min="15893" style="1" width="6.77"/>
    <col collapsed="false" customWidth="true" hidden="false" outlineLevel="0" max="15896" min="15894" style="1" width="6.33"/>
    <col collapsed="false" customWidth="false" hidden="false" outlineLevel="0" max="16128" min="15897" style="1" width="7.78"/>
    <col collapsed="false" customWidth="true" hidden="false" outlineLevel="0" max="16129" min="16129" style="1" width="8.88"/>
    <col collapsed="false" customWidth="true" hidden="false" outlineLevel="0" max="16130" min="16130" style="1" width="11.67"/>
    <col collapsed="false" customWidth="true" hidden="false" outlineLevel="0" max="16146" min="16131" style="1" width="6.11"/>
    <col collapsed="false" customWidth="true" hidden="false" outlineLevel="0" max="16147" min="16147" style="1" width="6.77"/>
    <col collapsed="false" customWidth="true" hidden="false" outlineLevel="0" max="16148" min="16148" style="1" width="7.11"/>
    <col collapsed="false" customWidth="true" hidden="false" outlineLevel="0" max="16149" min="16149" style="1" width="6.77"/>
    <col collapsed="false" customWidth="true" hidden="false" outlineLevel="0" max="16152" min="16150" style="1" width="6.33"/>
    <col collapsed="false" customWidth="false" hidden="false" outlineLevel="0" max="16384" min="16153" style="1" width="7.78"/>
  </cols>
  <sheetData>
    <row r="1" s="2" customFormat="true" ht="27.75" hidden="false" customHeight="true" outlineLevel="0" collapsed="false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2.75" hidden="false" customHeight="false" outlineLevel="0" collapsed="false">
      <c r="A2" s="47"/>
      <c r="H2" s="7"/>
      <c r="M2" s="5"/>
      <c r="N2" s="5"/>
      <c r="O2" s="5"/>
      <c r="P2" s="5"/>
      <c r="R2" s="5"/>
      <c r="S2" s="5"/>
      <c r="T2" s="5" t="s">
        <v>62</v>
      </c>
    </row>
    <row r="3" customFormat="false" ht="12.75" hidden="false" customHeight="false" outlineLevel="0" collapsed="false">
      <c r="H3" s="7"/>
      <c r="M3" s="5"/>
      <c r="N3" s="5"/>
      <c r="O3" s="5"/>
      <c r="P3" s="5"/>
      <c r="R3" s="5"/>
      <c r="S3" s="5"/>
      <c r="T3" s="5" t="s">
        <v>63</v>
      </c>
    </row>
    <row r="4" customFormat="false" ht="12.75" hidden="false" customHeight="false" outlineLevel="0" collapsed="false">
      <c r="B4" s="62"/>
      <c r="C4" s="62"/>
      <c r="D4" s="62"/>
      <c r="E4" s="62"/>
      <c r="F4" s="62"/>
      <c r="H4" s="7"/>
      <c r="M4" s="5"/>
      <c r="N4" s="5"/>
      <c r="O4" s="5"/>
      <c r="P4" s="5"/>
      <c r="R4" s="5"/>
      <c r="S4" s="5"/>
      <c r="T4" s="5" t="s">
        <v>64</v>
      </c>
    </row>
    <row r="5" customFormat="false" ht="19.5" hidden="false" customHeight="true" outlineLevel="0" collapsed="false">
      <c r="A5" s="8" t="s">
        <v>65</v>
      </c>
      <c r="B5" s="8"/>
      <c r="C5" s="9" t="s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customFormat="false" ht="19.5" hidden="false" customHeight="true" outlineLevel="0" collapsed="false">
      <c r="A6" s="8"/>
      <c r="B6" s="8"/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  <c r="P6" s="10" t="s">
        <v>19</v>
      </c>
      <c r="Q6" s="10" t="s">
        <v>20</v>
      </c>
      <c r="R6" s="10" t="s">
        <v>21</v>
      </c>
      <c r="S6" s="10" t="s">
        <v>22</v>
      </c>
      <c r="T6" s="11" t="s">
        <v>23</v>
      </c>
    </row>
    <row r="7" customFormat="false" ht="19.5" hidden="false" customHeight="true" outlineLevel="0" collapsed="false">
      <c r="A7" s="63"/>
      <c r="B7" s="13" t="s">
        <v>24</v>
      </c>
      <c r="C7" s="13" t="n">
        <v>15</v>
      </c>
      <c r="D7" s="13" t="n">
        <v>15</v>
      </c>
      <c r="E7" s="13" t="n">
        <v>18</v>
      </c>
      <c r="F7" s="13" t="n">
        <v>23</v>
      </c>
      <c r="G7" s="64" t="n">
        <v>22</v>
      </c>
      <c r="H7" s="64" t="n">
        <v>22</v>
      </c>
      <c r="I7" s="64" t="n">
        <v>24</v>
      </c>
      <c r="J7" s="64" t="n">
        <v>25</v>
      </c>
      <c r="K7" s="64" t="n">
        <v>25</v>
      </c>
      <c r="L7" s="64" t="n">
        <v>23</v>
      </c>
      <c r="M7" s="64" t="n">
        <v>18</v>
      </c>
      <c r="N7" s="64" t="n">
        <v>24</v>
      </c>
      <c r="O7" s="13" t="n">
        <v>25</v>
      </c>
      <c r="P7" s="13" t="n">
        <v>30</v>
      </c>
      <c r="Q7" s="13" t="n">
        <v>30</v>
      </c>
      <c r="R7" s="64" t="n">
        <v>31</v>
      </c>
      <c r="S7" s="13" t="n">
        <v>33</v>
      </c>
      <c r="T7" s="65" t="n">
        <v>37</v>
      </c>
    </row>
    <row r="8" customFormat="false" ht="19.5" hidden="false" customHeight="true" outlineLevel="0" collapsed="false">
      <c r="A8" s="12" t="s">
        <v>66</v>
      </c>
      <c r="B8" s="13" t="s">
        <v>26</v>
      </c>
      <c r="C8" s="13" t="n">
        <v>251</v>
      </c>
      <c r="D8" s="13" t="n">
        <v>253</v>
      </c>
      <c r="E8" s="13" t="n">
        <v>311</v>
      </c>
      <c r="F8" s="13" t="n">
        <v>387</v>
      </c>
      <c r="G8" s="64" t="n">
        <v>370</v>
      </c>
      <c r="H8" s="64" t="n">
        <v>385</v>
      </c>
      <c r="I8" s="64" t="n">
        <v>480</v>
      </c>
      <c r="J8" s="64" t="n">
        <v>590</v>
      </c>
      <c r="K8" s="64" t="n">
        <v>616</v>
      </c>
      <c r="L8" s="64" t="n">
        <v>509</v>
      </c>
      <c r="M8" s="64" t="n">
        <v>425</v>
      </c>
      <c r="N8" s="64" t="n">
        <v>567</v>
      </c>
      <c r="O8" s="13" t="n">
        <v>626</v>
      </c>
      <c r="P8" s="13" t="n">
        <v>819</v>
      </c>
      <c r="Q8" s="13" t="n">
        <v>904</v>
      </c>
      <c r="R8" s="64" t="n">
        <v>997</v>
      </c>
      <c r="S8" s="13" t="n">
        <v>1106</v>
      </c>
      <c r="T8" s="65" t="n">
        <v>1291</v>
      </c>
    </row>
    <row r="9" customFormat="false" ht="19.5" hidden="false" customHeight="true" outlineLevel="0" collapsed="false">
      <c r="A9" s="26"/>
      <c r="B9" s="18" t="s">
        <v>27</v>
      </c>
      <c r="C9" s="18" t="n">
        <v>16.54</v>
      </c>
      <c r="D9" s="18" t="n">
        <v>16.78</v>
      </c>
      <c r="E9" s="18" t="n">
        <v>17.31</v>
      </c>
      <c r="F9" s="18" t="n">
        <v>16.93</v>
      </c>
      <c r="G9" s="66" t="n">
        <v>16.82</v>
      </c>
      <c r="H9" s="66" t="n">
        <v>17.18</v>
      </c>
      <c r="I9" s="66" t="n">
        <v>20.02</v>
      </c>
      <c r="J9" s="66" t="n">
        <v>23.44</v>
      </c>
      <c r="K9" s="66" t="n">
        <v>24.25</v>
      </c>
      <c r="L9" s="66" t="n">
        <v>22.39</v>
      </c>
      <c r="M9" s="66" t="n">
        <v>23.1</v>
      </c>
      <c r="N9" s="66" t="n">
        <v>24.04</v>
      </c>
      <c r="O9" s="66" t="n">
        <v>24.61</v>
      </c>
      <c r="P9" s="66" t="n">
        <v>27.52</v>
      </c>
      <c r="Q9" s="18" t="n">
        <v>30.54</v>
      </c>
      <c r="R9" s="66" t="n">
        <v>31.71</v>
      </c>
      <c r="S9" s="66" t="n">
        <v>33.52</v>
      </c>
      <c r="T9" s="67" t="n">
        <v>34.52</v>
      </c>
    </row>
    <row r="10" customFormat="false" ht="19.5" hidden="false" customHeight="true" outlineLevel="0" collapsed="false">
      <c r="A10" s="63"/>
      <c r="B10" s="22" t="s">
        <v>24</v>
      </c>
      <c r="C10" s="13" t="n">
        <v>112</v>
      </c>
      <c r="D10" s="13" t="n">
        <v>113</v>
      </c>
      <c r="E10" s="13" t="n">
        <v>108</v>
      </c>
      <c r="F10" s="13" t="n">
        <v>133</v>
      </c>
      <c r="G10" s="64" t="n">
        <v>144</v>
      </c>
      <c r="H10" s="64" t="n">
        <v>118</v>
      </c>
      <c r="I10" s="64" t="n">
        <v>122</v>
      </c>
      <c r="J10" s="64" t="n">
        <v>114</v>
      </c>
      <c r="K10" s="64" t="n">
        <v>110</v>
      </c>
      <c r="L10" s="64" t="n">
        <v>111</v>
      </c>
      <c r="M10" s="64" t="n">
        <v>151</v>
      </c>
      <c r="N10" s="64" t="n">
        <v>152</v>
      </c>
      <c r="O10" s="13" t="n">
        <v>151</v>
      </c>
      <c r="P10" s="13" t="n">
        <v>152</v>
      </c>
      <c r="Q10" s="13" t="n">
        <v>152</v>
      </c>
      <c r="R10" s="64" t="n">
        <v>152</v>
      </c>
      <c r="S10" s="13" t="n">
        <v>154</v>
      </c>
      <c r="T10" s="65" t="n">
        <v>154</v>
      </c>
    </row>
    <row r="11" customFormat="false" ht="19.5" hidden="false" customHeight="true" outlineLevel="0" collapsed="false">
      <c r="A11" s="12" t="s">
        <v>67</v>
      </c>
      <c r="B11" s="22" t="s">
        <v>26</v>
      </c>
      <c r="C11" s="13" t="n">
        <v>66</v>
      </c>
      <c r="D11" s="13" t="n">
        <v>68</v>
      </c>
      <c r="E11" s="13" t="n">
        <v>61</v>
      </c>
      <c r="F11" s="13" t="n">
        <v>78</v>
      </c>
      <c r="G11" s="64" t="n">
        <v>93</v>
      </c>
      <c r="H11" s="64" t="n">
        <v>62</v>
      </c>
      <c r="I11" s="64" t="n">
        <v>77</v>
      </c>
      <c r="J11" s="64" t="n">
        <v>79</v>
      </c>
      <c r="K11" s="64" t="n">
        <v>70</v>
      </c>
      <c r="L11" s="64" t="n">
        <v>73</v>
      </c>
      <c r="M11" s="64" t="n">
        <v>99</v>
      </c>
      <c r="N11" s="64" t="n">
        <v>87</v>
      </c>
      <c r="O11" s="13" t="n">
        <v>88</v>
      </c>
      <c r="P11" s="13" t="n">
        <v>95</v>
      </c>
      <c r="Q11" s="13" t="n">
        <v>97</v>
      </c>
      <c r="R11" s="64" t="n">
        <v>97</v>
      </c>
      <c r="S11" s="13" t="n">
        <v>91</v>
      </c>
      <c r="T11" s="65" t="n">
        <v>88</v>
      </c>
    </row>
    <row r="12" customFormat="false" ht="19.5" hidden="false" customHeight="true" outlineLevel="0" collapsed="false">
      <c r="A12" s="26"/>
      <c r="B12" s="24" t="s">
        <v>27</v>
      </c>
      <c r="C12" s="18" t="n">
        <v>0.59</v>
      </c>
      <c r="D12" s="18" t="n">
        <v>0.61</v>
      </c>
      <c r="E12" s="18" t="n">
        <v>0.57</v>
      </c>
      <c r="F12" s="18" t="n">
        <v>0.59</v>
      </c>
      <c r="G12" s="66" t="n">
        <v>0.64</v>
      </c>
      <c r="H12" s="66" t="n">
        <v>0.52</v>
      </c>
      <c r="I12" s="66" t="n">
        <v>0.63</v>
      </c>
      <c r="J12" s="66" t="n">
        <v>0.7</v>
      </c>
      <c r="K12" s="66" t="n">
        <v>0.63</v>
      </c>
      <c r="L12" s="66" t="n">
        <v>0.66</v>
      </c>
      <c r="M12" s="66" t="n">
        <v>0.66</v>
      </c>
      <c r="N12" s="66" t="n">
        <v>0.57</v>
      </c>
      <c r="O12" s="18" t="n">
        <v>0.58</v>
      </c>
      <c r="P12" s="18" t="n">
        <v>0.62</v>
      </c>
      <c r="Q12" s="18" t="n">
        <v>0.64</v>
      </c>
      <c r="R12" s="66" t="n">
        <v>0.64</v>
      </c>
      <c r="S12" s="66" t="n">
        <v>0.59</v>
      </c>
      <c r="T12" s="67" t="n">
        <v>0.57</v>
      </c>
    </row>
    <row r="13" customFormat="false" ht="19.5" hidden="false" customHeight="true" outlineLevel="0" collapsed="false">
      <c r="A13" s="12"/>
      <c r="B13" s="22" t="s">
        <v>24</v>
      </c>
      <c r="C13" s="13" t="n">
        <v>7</v>
      </c>
      <c r="D13" s="13" t="n">
        <v>7</v>
      </c>
      <c r="E13" s="13" t="n">
        <v>7</v>
      </c>
      <c r="F13" s="13" t="n">
        <v>8</v>
      </c>
      <c r="G13" s="13" t="n">
        <v>8</v>
      </c>
      <c r="H13" s="13" t="n">
        <v>8</v>
      </c>
      <c r="I13" s="13" t="n">
        <v>7</v>
      </c>
      <c r="J13" s="13" t="n">
        <v>7</v>
      </c>
      <c r="K13" s="13" t="n">
        <v>9</v>
      </c>
      <c r="L13" s="13" t="n">
        <v>9</v>
      </c>
      <c r="M13" s="68" t="n">
        <v>9</v>
      </c>
      <c r="N13" s="68" t="n">
        <v>9</v>
      </c>
      <c r="O13" s="69" t="n">
        <v>9</v>
      </c>
      <c r="P13" s="13" t="n">
        <v>6</v>
      </c>
      <c r="Q13" s="13" t="n">
        <v>7</v>
      </c>
      <c r="R13" s="64" t="n">
        <v>8</v>
      </c>
      <c r="S13" s="13" t="n">
        <v>7</v>
      </c>
      <c r="T13" s="65" t="n">
        <v>7</v>
      </c>
    </row>
    <row r="14" customFormat="false" ht="19.5" hidden="false" customHeight="true" outlineLevel="0" collapsed="false">
      <c r="A14" s="12" t="s">
        <v>68</v>
      </c>
      <c r="B14" s="22" t="s">
        <v>26</v>
      </c>
      <c r="C14" s="13" t="n">
        <v>5</v>
      </c>
      <c r="D14" s="13" t="n">
        <v>5</v>
      </c>
      <c r="E14" s="13" t="n">
        <v>5</v>
      </c>
      <c r="F14" s="13" t="n">
        <v>6</v>
      </c>
      <c r="G14" s="13" t="n">
        <v>5</v>
      </c>
      <c r="H14" s="13" t="n">
        <v>6</v>
      </c>
      <c r="I14" s="13" t="n">
        <v>5</v>
      </c>
      <c r="J14" s="13" t="n">
        <v>5</v>
      </c>
      <c r="K14" s="13" t="n">
        <v>7</v>
      </c>
      <c r="L14" s="13" t="n">
        <v>7</v>
      </c>
      <c r="M14" s="68" t="n">
        <v>6</v>
      </c>
      <c r="N14" s="68" t="n">
        <v>5</v>
      </c>
      <c r="O14" s="70" t="n">
        <v>5</v>
      </c>
      <c r="P14" s="13" t="n">
        <v>4</v>
      </c>
      <c r="Q14" s="13" t="n">
        <v>5</v>
      </c>
      <c r="R14" s="64" t="n">
        <v>7</v>
      </c>
      <c r="S14" s="13" t="n">
        <v>7</v>
      </c>
      <c r="T14" s="65" t="n">
        <v>6</v>
      </c>
    </row>
    <row r="15" customFormat="false" ht="19.5" hidden="false" customHeight="true" outlineLevel="0" collapsed="false">
      <c r="A15" s="26"/>
      <c r="B15" s="24" t="s">
        <v>27</v>
      </c>
      <c r="C15" s="18" t="n">
        <v>0.71</v>
      </c>
      <c r="D15" s="18" t="n">
        <v>0.72</v>
      </c>
      <c r="E15" s="18" t="n">
        <v>0.74</v>
      </c>
      <c r="F15" s="18" t="n">
        <v>0.76</v>
      </c>
      <c r="G15" s="66" t="n">
        <v>0.72</v>
      </c>
      <c r="H15" s="66" t="n">
        <v>0.73</v>
      </c>
      <c r="I15" s="66" t="n">
        <v>0.71</v>
      </c>
      <c r="J15" s="66" t="n">
        <v>0.71</v>
      </c>
      <c r="K15" s="66" t="n">
        <v>0.78</v>
      </c>
      <c r="L15" s="66" t="n">
        <v>0.78</v>
      </c>
      <c r="M15" s="66" t="n">
        <v>0.75</v>
      </c>
      <c r="N15" s="66" t="n">
        <v>0.54</v>
      </c>
      <c r="O15" s="66" t="n">
        <v>0.56</v>
      </c>
      <c r="P15" s="18" t="n">
        <v>0.69</v>
      </c>
      <c r="Q15" s="18" t="n">
        <v>0.74</v>
      </c>
      <c r="R15" s="66" t="n">
        <v>0.87</v>
      </c>
      <c r="S15" s="66" t="n">
        <v>0.96</v>
      </c>
      <c r="T15" s="67" t="n">
        <v>0.92</v>
      </c>
    </row>
    <row r="16" customFormat="false" ht="19.5" hidden="false" customHeight="true" outlineLevel="0" collapsed="false">
      <c r="A16" s="12"/>
      <c r="B16" s="22" t="s">
        <v>24</v>
      </c>
      <c r="C16" s="13" t="n">
        <v>54</v>
      </c>
      <c r="D16" s="13" t="n">
        <v>53</v>
      </c>
      <c r="E16" s="13" t="n">
        <v>52</v>
      </c>
      <c r="F16" s="13" t="n">
        <v>51</v>
      </c>
      <c r="G16" s="64" t="n">
        <v>51</v>
      </c>
      <c r="H16" s="64" t="n">
        <v>51</v>
      </c>
      <c r="I16" s="64" t="n">
        <v>50</v>
      </c>
      <c r="J16" s="64" t="n">
        <v>52</v>
      </c>
      <c r="K16" s="64" t="n">
        <v>59</v>
      </c>
      <c r="L16" s="64" t="n">
        <v>59</v>
      </c>
      <c r="M16" s="64" t="n">
        <v>80</v>
      </c>
      <c r="N16" s="64" t="n">
        <v>81</v>
      </c>
      <c r="O16" s="13" t="n">
        <v>82</v>
      </c>
      <c r="P16" s="13" t="n">
        <v>82</v>
      </c>
      <c r="Q16" s="13" t="n">
        <v>83</v>
      </c>
      <c r="R16" s="64" t="n">
        <v>84</v>
      </c>
      <c r="S16" s="13" t="n">
        <v>85</v>
      </c>
      <c r="T16" s="65" t="n">
        <v>85</v>
      </c>
    </row>
    <row r="17" customFormat="false" ht="19.5" hidden="false" customHeight="true" outlineLevel="0" collapsed="false">
      <c r="A17" s="12" t="s">
        <v>69</v>
      </c>
      <c r="B17" s="22" t="s">
        <v>26</v>
      </c>
      <c r="C17" s="13" t="n">
        <v>307</v>
      </c>
      <c r="D17" s="13" t="n">
        <v>314</v>
      </c>
      <c r="E17" s="13" t="n">
        <v>270</v>
      </c>
      <c r="F17" s="13" t="n">
        <v>272</v>
      </c>
      <c r="G17" s="64" t="n">
        <v>279</v>
      </c>
      <c r="H17" s="64" t="n">
        <v>278</v>
      </c>
      <c r="I17" s="64" t="n">
        <v>281</v>
      </c>
      <c r="J17" s="64" t="n">
        <v>321</v>
      </c>
      <c r="K17" s="64" t="n">
        <v>373</v>
      </c>
      <c r="L17" s="64" t="n">
        <v>383</v>
      </c>
      <c r="M17" s="64" t="n">
        <v>504</v>
      </c>
      <c r="N17" s="64" t="n">
        <v>412</v>
      </c>
      <c r="O17" s="13" t="n">
        <v>438</v>
      </c>
      <c r="P17" s="13" t="n">
        <v>582</v>
      </c>
      <c r="Q17" s="13" t="n">
        <v>629</v>
      </c>
      <c r="R17" s="64" t="n">
        <v>677</v>
      </c>
      <c r="S17" s="13" t="n">
        <v>746</v>
      </c>
      <c r="T17" s="65" t="n">
        <v>733</v>
      </c>
    </row>
    <row r="18" customFormat="false" ht="19.5" hidden="false" customHeight="true" outlineLevel="0" collapsed="false">
      <c r="A18" s="26"/>
      <c r="B18" s="24" t="s">
        <v>27</v>
      </c>
      <c r="C18" s="18" t="n">
        <v>5.72</v>
      </c>
      <c r="D18" s="18" t="n">
        <v>5.88</v>
      </c>
      <c r="E18" s="18" t="n">
        <v>5.16</v>
      </c>
      <c r="F18" s="18" t="n">
        <v>5.37</v>
      </c>
      <c r="G18" s="66" t="n">
        <v>5.5</v>
      </c>
      <c r="H18" s="66" t="n">
        <v>5.42</v>
      </c>
      <c r="I18" s="66" t="n">
        <v>5.66</v>
      </c>
      <c r="J18" s="66" t="n">
        <v>6.17</v>
      </c>
      <c r="K18" s="66" t="n">
        <v>6.3</v>
      </c>
      <c r="L18" s="66" t="n">
        <v>6.51</v>
      </c>
      <c r="M18" s="66" t="n">
        <v>6.31</v>
      </c>
      <c r="N18" s="66" t="n">
        <v>5.12</v>
      </c>
      <c r="O18" s="13" t="n">
        <v>5.34</v>
      </c>
      <c r="P18" s="18" t="n">
        <v>7.06</v>
      </c>
      <c r="Q18" s="66" t="n">
        <v>7.57</v>
      </c>
      <c r="R18" s="66" t="n">
        <v>8.04</v>
      </c>
      <c r="S18" s="66" t="n">
        <v>8.82</v>
      </c>
      <c r="T18" s="67" t="n">
        <v>8.59</v>
      </c>
    </row>
    <row r="19" customFormat="false" ht="19.5" hidden="false" customHeight="true" outlineLevel="0" collapsed="false">
      <c r="A19" s="12"/>
      <c r="B19" s="22" t="s">
        <v>24</v>
      </c>
      <c r="C19" s="13" t="n">
        <v>33</v>
      </c>
      <c r="D19" s="13" t="n">
        <v>34</v>
      </c>
      <c r="E19" s="13" t="n">
        <v>33</v>
      </c>
      <c r="F19" s="13" t="n">
        <v>40</v>
      </c>
      <c r="G19" s="64" t="n">
        <v>47</v>
      </c>
      <c r="H19" s="64" t="n">
        <v>57</v>
      </c>
      <c r="I19" s="64" t="n">
        <v>52</v>
      </c>
      <c r="J19" s="64" t="n">
        <v>35</v>
      </c>
      <c r="K19" s="64" t="n">
        <v>30</v>
      </c>
      <c r="L19" s="64" t="n">
        <v>24</v>
      </c>
      <c r="M19" s="64" t="n">
        <v>27</v>
      </c>
      <c r="N19" s="68" t="n">
        <v>47</v>
      </c>
      <c r="O19" s="69" t="n">
        <v>20</v>
      </c>
      <c r="P19" s="13" t="n">
        <v>14</v>
      </c>
      <c r="Q19" s="13" t="n">
        <v>14</v>
      </c>
      <c r="R19" s="64" t="n">
        <v>13</v>
      </c>
      <c r="S19" s="13" t="n">
        <v>14</v>
      </c>
      <c r="T19" s="71" t="n">
        <v>15</v>
      </c>
    </row>
    <row r="20" customFormat="false" ht="19.5" hidden="false" customHeight="true" outlineLevel="0" collapsed="false">
      <c r="A20" s="12" t="s">
        <v>70</v>
      </c>
      <c r="B20" s="22" t="s">
        <v>26</v>
      </c>
      <c r="C20" s="13" t="n">
        <v>41</v>
      </c>
      <c r="D20" s="13" t="n">
        <v>41</v>
      </c>
      <c r="E20" s="13" t="n">
        <v>45</v>
      </c>
      <c r="F20" s="13" t="n">
        <v>56</v>
      </c>
      <c r="G20" s="64" t="n">
        <v>66</v>
      </c>
      <c r="H20" s="64" t="n">
        <v>68</v>
      </c>
      <c r="I20" s="64" t="n">
        <v>59</v>
      </c>
      <c r="J20" s="64" t="n">
        <v>43</v>
      </c>
      <c r="K20" s="64" t="n">
        <v>39</v>
      </c>
      <c r="L20" s="64" t="n">
        <v>25</v>
      </c>
      <c r="M20" s="64" t="n">
        <v>33</v>
      </c>
      <c r="N20" s="68" t="n">
        <v>61</v>
      </c>
      <c r="O20" s="70" t="n">
        <v>23</v>
      </c>
      <c r="P20" s="13" t="n">
        <v>15</v>
      </c>
      <c r="Q20" s="13" t="n">
        <v>18</v>
      </c>
      <c r="R20" s="64" t="n">
        <v>16</v>
      </c>
      <c r="S20" s="13" t="n">
        <v>16</v>
      </c>
      <c r="T20" s="71" t="n">
        <v>19</v>
      </c>
    </row>
    <row r="21" customFormat="false" ht="19.5" hidden="false" customHeight="true" outlineLevel="0" collapsed="false">
      <c r="A21" s="26"/>
      <c r="B21" s="24" t="s">
        <v>27</v>
      </c>
      <c r="C21" s="13" t="n">
        <v>1.23</v>
      </c>
      <c r="D21" s="13" t="n">
        <v>1.21</v>
      </c>
      <c r="E21" s="13" t="n">
        <v>1.36</v>
      </c>
      <c r="F21" s="13" t="n">
        <v>1.4</v>
      </c>
      <c r="G21" s="70" t="n">
        <v>1.4</v>
      </c>
      <c r="H21" s="70" t="n">
        <v>1.19</v>
      </c>
      <c r="I21" s="70" t="n">
        <v>1.14</v>
      </c>
      <c r="J21" s="70" t="n">
        <v>1.21</v>
      </c>
      <c r="K21" s="70" t="n">
        <v>1.28</v>
      </c>
      <c r="L21" s="70" t="n">
        <v>1.06</v>
      </c>
      <c r="M21" s="70" t="n">
        <v>1.22</v>
      </c>
      <c r="N21" s="70" t="n">
        <v>1.3</v>
      </c>
      <c r="O21" s="18" t="n">
        <v>1.15</v>
      </c>
      <c r="P21" s="18" t="n">
        <v>1.07</v>
      </c>
      <c r="Q21" s="66" t="n">
        <v>1.29</v>
      </c>
      <c r="R21" s="66" t="n">
        <v>1.23</v>
      </c>
      <c r="S21" s="66" t="n">
        <v>1.14</v>
      </c>
      <c r="T21" s="67" t="n">
        <v>1.27</v>
      </c>
    </row>
    <row r="22" s="47" customFormat="true" ht="19.5" hidden="false" customHeight="true" outlineLevel="0" collapsed="false">
      <c r="A22" s="72" t="s">
        <v>32</v>
      </c>
      <c r="B22" s="72"/>
      <c r="C22" s="73" t="n">
        <f aca="false">C19+C16+C13+C10+C7</f>
        <v>221</v>
      </c>
      <c r="D22" s="73" t="n">
        <f aca="false">D19+D16+D13+D10+D7</f>
        <v>222</v>
      </c>
      <c r="E22" s="73" t="n">
        <f aca="false">E19+E16+E13+E10+E7</f>
        <v>218</v>
      </c>
      <c r="F22" s="73" t="n">
        <f aca="false">F19+F16+F13+F10+F7</f>
        <v>255</v>
      </c>
      <c r="G22" s="73" t="n">
        <f aca="false">G19+G16+G13+G10+G7</f>
        <v>272</v>
      </c>
      <c r="H22" s="73" t="n">
        <f aca="false">H19+H16+H13+H10+H7</f>
        <v>256</v>
      </c>
      <c r="I22" s="73" t="n">
        <f aca="false">I19+I16+I13+I10+I7</f>
        <v>255</v>
      </c>
      <c r="J22" s="73" t="n">
        <f aca="false">J19+J16+J13+J10+J7</f>
        <v>233</v>
      </c>
      <c r="K22" s="73" t="n">
        <f aca="false">K19+K16+K13+K10+K7</f>
        <v>233</v>
      </c>
      <c r="L22" s="73" t="n">
        <f aca="false">L19+L16+L13+L10+L7</f>
        <v>226</v>
      </c>
      <c r="M22" s="73" t="n">
        <f aca="false">M19+M16+M13+M10+M7</f>
        <v>285</v>
      </c>
      <c r="N22" s="73" t="n">
        <f aca="false">N19+N16+N13+N10+N7</f>
        <v>313</v>
      </c>
      <c r="O22" s="73" t="n">
        <f aca="false">O19+O16+O13+O10+O7</f>
        <v>287</v>
      </c>
      <c r="P22" s="73" t="n">
        <f aca="false">P19+P16+P13+P10+P7</f>
        <v>284</v>
      </c>
      <c r="Q22" s="73" t="n">
        <f aca="false">Q19+Q16+Q13+Q10+Q7</f>
        <v>286</v>
      </c>
      <c r="R22" s="73" t="n">
        <f aca="false">R19+R16+R13+R10+R7</f>
        <v>288</v>
      </c>
      <c r="S22" s="73" t="n">
        <f aca="false">S19+S16+S13+S10+S7</f>
        <v>293</v>
      </c>
      <c r="T22" s="74" t="n">
        <f aca="false">T19+T16+T13+T10+T7</f>
        <v>298</v>
      </c>
    </row>
    <row r="23" s="47" customFormat="true" ht="19.5" hidden="false" customHeight="true" outlineLevel="0" collapsed="false">
      <c r="A23" s="75" t="s">
        <v>33</v>
      </c>
      <c r="B23" s="75"/>
      <c r="C23" s="76" t="n">
        <f aca="false">C20+C17+C14+C11+C8</f>
        <v>670</v>
      </c>
      <c r="D23" s="76" t="n">
        <f aca="false">D20+D17+D14+D11+D8</f>
        <v>681</v>
      </c>
      <c r="E23" s="76" t="n">
        <f aca="false">E20+E17+E14+E11+E8</f>
        <v>692</v>
      </c>
      <c r="F23" s="76" t="n">
        <f aca="false">F20+F17+F14+F11+F8</f>
        <v>799</v>
      </c>
      <c r="G23" s="76" t="n">
        <f aca="false">G20+G17+G14+G11+G8</f>
        <v>813</v>
      </c>
      <c r="H23" s="76" t="n">
        <f aca="false">H20+H17+H14+H11+H8</f>
        <v>799</v>
      </c>
      <c r="I23" s="76" t="n">
        <f aca="false">I20+I17+I14+I11+I8</f>
        <v>902</v>
      </c>
      <c r="J23" s="76" t="n">
        <f aca="false">J20+J17+J14+J11+J8</f>
        <v>1038</v>
      </c>
      <c r="K23" s="76" t="n">
        <f aca="false">K20+K17+K14+K11+K8</f>
        <v>1105</v>
      </c>
      <c r="L23" s="76" t="n">
        <f aca="false">L20+L17+L14+L11+L8</f>
        <v>997</v>
      </c>
      <c r="M23" s="76" t="n">
        <f aca="false">M20+M17+M14+M11+M8</f>
        <v>1067</v>
      </c>
      <c r="N23" s="76" t="n">
        <f aca="false">N20+N17+N14+N11+N8</f>
        <v>1132</v>
      </c>
      <c r="O23" s="76" t="n">
        <f aca="false">O20+O17+O14+O11+O8</f>
        <v>1180</v>
      </c>
      <c r="P23" s="76" t="n">
        <f aca="false">P20+P17+P14+P11+P8</f>
        <v>1515</v>
      </c>
      <c r="Q23" s="76" t="n">
        <f aca="false">Q20+Q17+Q14+Q11+Q8</f>
        <v>1653</v>
      </c>
      <c r="R23" s="76" t="n">
        <f aca="false">R20+R17+R14+R11+R8</f>
        <v>1794</v>
      </c>
      <c r="S23" s="76" t="n">
        <f aca="false">S20+S17+S14+S11+S8</f>
        <v>1966</v>
      </c>
      <c r="T23" s="77" t="n">
        <f aca="false">T20+T17+T14+T11+T8</f>
        <v>2137</v>
      </c>
    </row>
    <row r="24" customFormat="false" ht="12.75" hidden="false" customHeight="false" outlineLevel="0" collapsed="false">
      <c r="T24" s="5" t="s">
        <v>34</v>
      </c>
    </row>
    <row r="26" customFormat="false" ht="19.5" hidden="false" customHeight="true" outlineLevel="0" collapsed="false">
      <c r="A26" s="37" t="s">
        <v>65</v>
      </c>
      <c r="B26" s="37"/>
      <c r="C26" s="38" t="s">
        <v>5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customFormat="false" ht="19.5" hidden="false" customHeight="true" outlineLevel="0" collapsed="false">
      <c r="A27" s="37"/>
      <c r="B27" s="37"/>
      <c r="C27" s="39" t="s">
        <v>35</v>
      </c>
      <c r="D27" s="40" t="s">
        <v>36</v>
      </c>
      <c r="E27" s="40" t="s">
        <v>37</v>
      </c>
      <c r="F27" s="40" t="s">
        <v>38</v>
      </c>
      <c r="G27" s="40" t="s">
        <v>39</v>
      </c>
      <c r="H27" s="40" t="s">
        <v>40</v>
      </c>
      <c r="I27" s="40" t="s">
        <v>41</v>
      </c>
      <c r="J27" s="40" t="s">
        <v>42</v>
      </c>
      <c r="K27" s="40" t="s">
        <v>43</v>
      </c>
      <c r="L27" s="40" t="s">
        <v>44</v>
      </c>
      <c r="M27" s="40" t="s">
        <v>45</v>
      </c>
      <c r="N27" s="40" t="s">
        <v>46</v>
      </c>
      <c r="O27" s="40" t="s">
        <v>47</v>
      </c>
      <c r="P27" s="40" t="s">
        <v>48</v>
      </c>
      <c r="Q27" s="40" t="s">
        <v>49</v>
      </c>
      <c r="R27" s="40" t="s">
        <v>50</v>
      </c>
      <c r="S27" s="40" t="s">
        <v>51</v>
      </c>
      <c r="T27" s="40" t="s">
        <v>52</v>
      </c>
      <c r="U27" s="40" t="s">
        <v>53</v>
      </c>
      <c r="V27" s="40" t="s">
        <v>54</v>
      </c>
      <c r="W27" s="40" t="s">
        <v>55</v>
      </c>
      <c r="X27" s="10" t="s">
        <v>56</v>
      </c>
    </row>
    <row r="28" customFormat="false" ht="19.5" hidden="false" customHeight="true" outlineLevel="0" collapsed="false">
      <c r="A28" s="78"/>
      <c r="B28" s="42" t="s">
        <v>24</v>
      </c>
      <c r="C28" s="79" t="n">
        <v>38</v>
      </c>
      <c r="D28" s="80" t="n">
        <v>40</v>
      </c>
      <c r="E28" s="80" t="n">
        <v>42</v>
      </c>
      <c r="F28" s="81" t="n">
        <v>45</v>
      </c>
      <c r="G28" s="81" t="n">
        <v>46</v>
      </c>
      <c r="H28" s="81" t="n">
        <v>49</v>
      </c>
      <c r="I28" s="81" t="n">
        <v>54</v>
      </c>
      <c r="J28" s="81" t="n">
        <v>58</v>
      </c>
      <c r="K28" s="81" t="n">
        <v>59</v>
      </c>
      <c r="L28" s="81" t="n">
        <v>59</v>
      </c>
      <c r="M28" s="81" t="n">
        <v>60</v>
      </c>
      <c r="N28" s="81" t="n">
        <v>59</v>
      </c>
      <c r="O28" s="80" t="n">
        <v>59</v>
      </c>
      <c r="P28" s="80" t="n">
        <v>62</v>
      </c>
      <c r="Q28" s="80" t="n">
        <v>64</v>
      </c>
      <c r="R28" s="80" t="n">
        <v>63</v>
      </c>
      <c r="S28" s="80" t="n">
        <v>58</v>
      </c>
      <c r="T28" s="82" t="n">
        <v>58</v>
      </c>
      <c r="U28" s="82" t="n">
        <v>63</v>
      </c>
      <c r="V28" s="83" t="n">
        <v>64</v>
      </c>
      <c r="W28" s="84" t="n">
        <v>64</v>
      </c>
      <c r="X28" s="84" t="n">
        <v>65</v>
      </c>
    </row>
    <row r="29" customFormat="false" ht="19.5" hidden="false" customHeight="true" outlineLevel="0" collapsed="false">
      <c r="A29" s="78" t="s">
        <v>66</v>
      </c>
      <c r="B29" s="42" t="s">
        <v>26</v>
      </c>
      <c r="C29" s="79" t="n">
        <v>1366</v>
      </c>
      <c r="D29" s="80" t="n">
        <v>1431</v>
      </c>
      <c r="E29" s="80" t="n">
        <v>1500</v>
      </c>
      <c r="F29" s="81" t="n">
        <v>1569</v>
      </c>
      <c r="G29" s="81" t="n">
        <v>1622</v>
      </c>
      <c r="H29" s="81" t="n">
        <v>1718</v>
      </c>
      <c r="I29" s="81" t="n">
        <v>1972</v>
      </c>
      <c r="J29" s="81" t="n">
        <v>2103</v>
      </c>
      <c r="K29" s="81" t="n">
        <v>2212</v>
      </c>
      <c r="L29" s="81" t="n">
        <v>2248</v>
      </c>
      <c r="M29" s="81" t="n">
        <v>2343</v>
      </c>
      <c r="N29" s="81" t="n">
        <v>2305</v>
      </c>
      <c r="O29" s="80" t="n">
        <v>2376</v>
      </c>
      <c r="P29" s="80" t="n">
        <v>2463</v>
      </c>
      <c r="Q29" s="80" t="n">
        <v>2600</v>
      </c>
      <c r="R29" s="80" t="n">
        <v>2485</v>
      </c>
      <c r="S29" s="80" t="n">
        <v>2354</v>
      </c>
      <c r="T29" s="82" t="n">
        <v>2495</v>
      </c>
      <c r="U29" s="82" t="n">
        <v>2718</v>
      </c>
      <c r="V29" s="83" t="n">
        <v>2869</v>
      </c>
      <c r="W29" s="84" t="n">
        <v>2930</v>
      </c>
      <c r="X29" s="84" t="n">
        <v>3020</v>
      </c>
    </row>
    <row r="30" customFormat="false" ht="19.5" hidden="false" customHeight="true" outlineLevel="0" collapsed="false">
      <c r="A30" s="78"/>
      <c r="B30" s="42" t="s">
        <v>27</v>
      </c>
      <c r="C30" s="78" t="n">
        <v>35.95</v>
      </c>
      <c r="D30" s="85" t="n">
        <v>35.49</v>
      </c>
      <c r="E30" s="85" t="n">
        <v>35.99</v>
      </c>
      <c r="F30" s="85" t="n">
        <v>35</v>
      </c>
      <c r="G30" s="85" t="n">
        <v>35.3</v>
      </c>
      <c r="H30" s="85" t="n">
        <v>35.13</v>
      </c>
      <c r="I30" s="85" t="n">
        <v>36.58</v>
      </c>
      <c r="J30" s="85" t="n">
        <v>36.18</v>
      </c>
      <c r="K30" s="85" t="n">
        <v>37.22</v>
      </c>
      <c r="L30" s="85" t="n">
        <v>37.8</v>
      </c>
      <c r="M30" s="85" t="n">
        <v>38.78</v>
      </c>
      <c r="N30" s="85" t="n">
        <v>38.8</v>
      </c>
      <c r="O30" s="85" t="n">
        <v>40.21</v>
      </c>
      <c r="P30" s="85" t="n">
        <v>39.68</v>
      </c>
      <c r="Q30" s="85" t="n">
        <v>40.61</v>
      </c>
      <c r="R30" s="85" t="n">
        <v>39.47</v>
      </c>
      <c r="S30" s="85" t="n">
        <v>40.52</v>
      </c>
      <c r="T30" s="86" t="n">
        <v>43.01</v>
      </c>
      <c r="U30" s="86" t="n">
        <v>43.14</v>
      </c>
      <c r="V30" s="87" t="n">
        <v>14.33</v>
      </c>
      <c r="W30" s="88" t="n">
        <v>45.43</v>
      </c>
      <c r="X30" s="84" t="n">
        <v>46.46</v>
      </c>
    </row>
    <row r="31" customFormat="false" ht="19.5" hidden="false" customHeight="true" outlineLevel="0" collapsed="false">
      <c r="A31" s="78"/>
      <c r="B31" s="42" t="s">
        <v>24</v>
      </c>
      <c r="C31" s="79" t="n">
        <v>165</v>
      </c>
      <c r="D31" s="80" t="n">
        <v>166</v>
      </c>
      <c r="E31" s="80" t="n">
        <v>170</v>
      </c>
      <c r="F31" s="81" t="n">
        <v>185</v>
      </c>
      <c r="G31" s="81" t="n">
        <v>184</v>
      </c>
      <c r="H31" s="81" t="n">
        <v>179</v>
      </c>
      <c r="I31" s="81" t="n">
        <v>190</v>
      </c>
      <c r="J31" s="81" t="n">
        <v>190</v>
      </c>
      <c r="K31" s="81" t="n">
        <v>189</v>
      </c>
      <c r="L31" s="81" t="n">
        <v>188</v>
      </c>
      <c r="M31" s="81" t="n">
        <v>187</v>
      </c>
      <c r="N31" s="81" t="n">
        <v>187</v>
      </c>
      <c r="O31" s="80" t="n">
        <v>188</v>
      </c>
      <c r="P31" s="80" t="n">
        <v>188</v>
      </c>
      <c r="Q31" s="80" t="n">
        <v>184</v>
      </c>
      <c r="R31" s="80" t="n">
        <v>180</v>
      </c>
      <c r="S31" s="80" t="n">
        <v>181</v>
      </c>
      <c r="T31" s="82" t="n">
        <v>199</v>
      </c>
      <c r="U31" s="82" t="n">
        <v>214</v>
      </c>
      <c r="V31" s="83" t="n">
        <v>218</v>
      </c>
      <c r="W31" s="84" t="n">
        <v>215</v>
      </c>
      <c r="X31" s="84" t="n">
        <v>216.4</v>
      </c>
    </row>
    <row r="32" customFormat="false" ht="19.5" hidden="false" customHeight="true" outlineLevel="0" collapsed="false">
      <c r="A32" s="78" t="s">
        <v>67</v>
      </c>
      <c r="B32" s="42" t="s">
        <v>26</v>
      </c>
      <c r="C32" s="79" t="n">
        <v>94</v>
      </c>
      <c r="D32" s="80" t="n">
        <v>98</v>
      </c>
      <c r="E32" s="80" t="n">
        <v>102</v>
      </c>
      <c r="F32" s="81" t="n">
        <v>116</v>
      </c>
      <c r="G32" s="81" t="n">
        <v>119</v>
      </c>
      <c r="H32" s="81" t="n">
        <v>109</v>
      </c>
      <c r="I32" s="81" t="n">
        <v>120</v>
      </c>
      <c r="J32" s="81" t="n">
        <v>123</v>
      </c>
      <c r="K32" s="81" t="n">
        <v>132</v>
      </c>
      <c r="L32" s="81" t="n">
        <v>135</v>
      </c>
      <c r="M32" s="81" t="n">
        <v>125</v>
      </c>
      <c r="N32" s="81" t="n">
        <v>133</v>
      </c>
      <c r="O32" s="80" t="n">
        <v>142</v>
      </c>
      <c r="P32" s="80" t="n">
        <v>139</v>
      </c>
      <c r="Q32" s="80" t="n">
        <v>136</v>
      </c>
      <c r="R32" s="80" t="n">
        <v>134</v>
      </c>
      <c r="S32" s="80" t="n">
        <v>135</v>
      </c>
      <c r="T32" s="82" t="n">
        <v>155</v>
      </c>
      <c r="U32" s="82" t="n">
        <v>176</v>
      </c>
      <c r="V32" s="83" t="n">
        <v>181</v>
      </c>
      <c r="W32" s="84" t="n">
        <v>179</v>
      </c>
      <c r="X32" s="84" t="n">
        <v>184</v>
      </c>
    </row>
    <row r="33" customFormat="false" ht="19.5" hidden="false" customHeight="true" outlineLevel="0" collapsed="false">
      <c r="A33" s="78"/>
      <c r="B33" s="42" t="s">
        <v>27</v>
      </c>
      <c r="C33" s="78" t="n">
        <v>0.57</v>
      </c>
      <c r="D33" s="85" t="n">
        <v>0.59</v>
      </c>
      <c r="E33" s="85" t="n">
        <v>0.6</v>
      </c>
      <c r="F33" s="85" t="n">
        <v>0.63</v>
      </c>
      <c r="G33" s="85" t="n">
        <v>0.65</v>
      </c>
      <c r="H33" s="85" t="n">
        <v>0.61</v>
      </c>
      <c r="I33" s="85" t="n">
        <v>0.63</v>
      </c>
      <c r="J33" s="85" t="n">
        <v>0.65</v>
      </c>
      <c r="K33" s="85" t="n">
        <v>0.7</v>
      </c>
      <c r="L33" s="85" t="n">
        <v>0.72</v>
      </c>
      <c r="M33" s="85" t="n">
        <v>0.7</v>
      </c>
      <c r="N33" s="85" t="n">
        <v>0.71</v>
      </c>
      <c r="O33" s="80" t="n">
        <v>0.76</v>
      </c>
      <c r="P33" s="80" t="n">
        <v>0.74</v>
      </c>
      <c r="Q33" s="80" t="n">
        <v>0.74</v>
      </c>
      <c r="R33" s="80" t="n">
        <v>0.74</v>
      </c>
      <c r="S33" s="80" t="n">
        <v>0.75</v>
      </c>
      <c r="T33" s="82" t="n">
        <v>0.78</v>
      </c>
      <c r="U33" s="82" t="n">
        <v>0.82</v>
      </c>
      <c r="V33" s="83" t="n">
        <v>0.83</v>
      </c>
      <c r="W33" s="84" t="n">
        <v>0.83</v>
      </c>
      <c r="X33" s="84" t="n">
        <v>0.85</v>
      </c>
    </row>
    <row r="34" customFormat="false" ht="19.5" hidden="false" customHeight="true" outlineLevel="0" collapsed="false">
      <c r="A34" s="78"/>
      <c r="B34" s="42" t="s">
        <v>24</v>
      </c>
      <c r="C34" s="89" t="n">
        <v>7</v>
      </c>
      <c r="D34" s="80" t="n">
        <v>7</v>
      </c>
      <c r="E34" s="80" t="n">
        <v>7</v>
      </c>
      <c r="F34" s="81" t="n">
        <v>6</v>
      </c>
      <c r="G34" s="85" t="n">
        <v>6</v>
      </c>
      <c r="H34" s="90" t="n">
        <v>6</v>
      </c>
      <c r="I34" s="90" t="n">
        <v>4.4</v>
      </c>
      <c r="J34" s="90" t="n">
        <v>4.3</v>
      </c>
      <c r="K34" s="90" t="n">
        <v>4.2</v>
      </c>
      <c r="L34" s="90" t="n">
        <v>3.8</v>
      </c>
      <c r="M34" s="90" t="n">
        <v>3.6</v>
      </c>
      <c r="N34" s="90" t="n">
        <v>3.4</v>
      </c>
      <c r="O34" s="85" t="n">
        <v>3</v>
      </c>
      <c r="P34" s="85" t="n">
        <v>2.73</v>
      </c>
      <c r="Q34" s="85" t="n">
        <v>2.73</v>
      </c>
      <c r="R34" s="85" t="n">
        <v>2.69</v>
      </c>
      <c r="S34" s="85" t="n">
        <v>2.54</v>
      </c>
      <c r="T34" s="86" t="n">
        <v>2.53</v>
      </c>
      <c r="U34" s="86" t="n">
        <v>1.13</v>
      </c>
      <c r="V34" s="87" t="n">
        <v>1.11</v>
      </c>
      <c r="W34" s="88" t="n">
        <v>1.8</v>
      </c>
      <c r="X34" s="84" t="n">
        <v>1.77</v>
      </c>
    </row>
    <row r="35" customFormat="false" ht="19.5" hidden="false" customHeight="true" outlineLevel="0" collapsed="false">
      <c r="A35" s="78" t="s">
        <v>68</v>
      </c>
      <c r="B35" s="42" t="s">
        <v>26</v>
      </c>
      <c r="C35" s="79" t="n">
        <v>6</v>
      </c>
      <c r="D35" s="80" t="n">
        <v>6</v>
      </c>
      <c r="E35" s="80" t="n">
        <v>7</v>
      </c>
      <c r="F35" s="81" t="n">
        <v>6</v>
      </c>
      <c r="G35" s="90" t="n">
        <v>5</v>
      </c>
      <c r="H35" s="90" t="n">
        <v>4.6</v>
      </c>
      <c r="I35" s="90" t="n">
        <v>3.9</v>
      </c>
      <c r="J35" s="90" t="n">
        <v>3.8</v>
      </c>
      <c r="K35" s="90" t="n">
        <v>3.9</v>
      </c>
      <c r="L35" s="90" t="n">
        <v>3.8</v>
      </c>
      <c r="M35" s="90" t="n">
        <v>3.4</v>
      </c>
      <c r="N35" s="90" t="n">
        <v>3.3</v>
      </c>
      <c r="O35" s="85" t="n">
        <v>3</v>
      </c>
      <c r="P35" s="85" t="n">
        <v>2.72</v>
      </c>
      <c r="Q35" s="85" t="n">
        <v>2.65</v>
      </c>
      <c r="R35" s="85" t="n">
        <v>2.61</v>
      </c>
      <c r="S35" s="85" t="n">
        <v>2.5</v>
      </c>
      <c r="T35" s="86" t="n">
        <v>2.5</v>
      </c>
      <c r="U35" s="86" t="n">
        <v>1.24</v>
      </c>
      <c r="V35" s="87" t="n">
        <v>1.2</v>
      </c>
      <c r="W35" s="88" t="n">
        <v>2.4</v>
      </c>
      <c r="X35" s="84" t="n">
        <v>2.2</v>
      </c>
    </row>
    <row r="36" customFormat="false" ht="19.5" hidden="false" customHeight="true" outlineLevel="0" collapsed="false">
      <c r="A36" s="78"/>
      <c r="B36" s="42" t="s">
        <v>27</v>
      </c>
      <c r="C36" s="91" t="n">
        <v>0.86</v>
      </c>
      <c r="D36" s="85" t="n">
        <v>0.9</v>
      </c>
      <c r="E36" s="85" t="n">
        <v>0.91</v>
      </c>
      <c r="F36" s="85" t="n">
        <v>0.9</v>
      </c>
      <c r="G36" s="85" t="n">
        <v>0.83</v>
      </c>
      <c r="H36" s="85" t="n">
        <v>0.8</v>
      </c>
      <c r="I36" s="85" t="n">
        <v>0.88</v>
      </c>
      <c r="J36" s="85" t="n">
        <v>0.89</v>
      </c>
      <c r="K36" s="85" t="n">
        <v>0.94</v>
      </c>
      <c r="L36" s="85" t="n">
        <v>0.99</v>
      </c>
      <c r="M36" s="85" t="n">
        <v>0.96</v>
      </c>
      <c r="N36" s="85" t="n">
        <v>0.97</v>
      </c>
      <c r="O36" s="85" t="n">
        <v>1</v>
      </c>
      <c r="P36" s="85" t="n">
        <v>1</v>
      </c>
      <c r="Q36" s="85" t="n">
        <v>0.97</v>
      </c>
      <c r="R36" s="85" t="n">
        <v>0.97</v>
      </c>
      <c r="S36" s="85" t="n">
        <v>0.98</v>
      </c>
      <c r="T36" s="86" t="n">
        <v>0.98</v>
      </c>
      <c r="U36" s="86" t="n">
        <v>1.09</v>
      </c>
      <c r="V36" s="87" t="n">
        <v>1.08</v>
      </c>
      <c r="W36" s="88" t="n">
        <v>1.35</v>
      </c>
      <c r="X36" s="84" t="n">
        <v>1.28</v>
      </c>
    </row>
    <row r="37" customFormat="false" ht="19.5" hidden="false" customHeight="true" outlineLevel="0" collapsed="false">
      <c r="A37" s="78"/>
      <c r="B37" s="42" t="s">
        <v>24</v>
      </c>
      <c r="C37" s="79" t="n">
        <v>87</v>
      </c>
      <c r="D37" s="80" t="n">
        <v>89</v>
      </c>
      <c r="E37" s="80" t="n">
        <v>97</v>
      </c>
      <c r="F37" s="81" t="n">
        <v>106</v>
      </c>
      <c r="G37" s="81" t="n">
        <v>110</v>
      </c>
      <c r="H37" s="81" t="n">
        <v>112</v>
      </c>
      <c r="I37" s="81" t="n">
        <v>118</v>
      </c>
      <c r="J37" s="81" t="n">
        <v>123</v>
      </c>
      <c r="K37" s="81" t="n">
        <v>129</v>
      </c>
      <c r="L37" s="81" t="n">
        <v>135</v>
      </c>
      <c r="M37" s="81" t="n">
        <v>140</v>
      </c>
      <c r="N37" s="81" t="n">
        <v>143</v>
      </c>
      <c r="O37" s="80" t="n">
        <v>147</v>
      </c>
      <c r="P37" s="80" t="n">
        <v>151</v>
      </c>
      <c r="Q37" s="80" t="n">
        <v>154</v>
      </c>
      <c r="R37" s="80" t="n">
        <v>157</v>
      </c>
      <c r="S37" s="80" t="n">
        <v>182</v>
      </c>
      <c r="T37" s="82" t="n">
        <v>185</v>
      </c>
      <c r="U37" s="82" t="n">
        <v>183</v>
      </c>
      <c r="V37" s="83" t="n">
        <v>187</v>
      </c>
      <c r="W37" s="84" t="n">
        <v>188</v>
      </c>
      <c r="X37" s="84" t="n">
        <v>205.72</v>
      </c>
    </row>
    <row r="38" customFormat="false" ht="19.5" hidden="false" customHeight="true" outlineLevel="0" collapsed="false">
      <c r="A38" s="78" t="s">
        <v>69</v>
      </c>
      <c r="B38" s="42" t="s">
        <v>26</v>
      </c>
      <c r="C38" s="79" t="n">
        <v>733</v>
      </c>
      <c r="D38" s="80" t="n">
        <v>780</v>
      </c>
      <c r="E38" s="80" t="n">
        <v>840</v>
      </c>
      <c r="F38" s="81" t="n">
        <v>898</v>
      </c>
      <c r="G38" s="81" t="n">
        <v>961</v>
      </c>
      <c r="H38" s="81" t="n">
        <v>935</v>
      </c>
      <c r="I38" s="81" t="n">
        <v>1091</v>
      </c>
      <c r="J38" s="81" t="n">
        <v>1183</v>
      </c>
      <c r="K38" s="81" t="n">
        <v>1314</v>
      </c>
      <c r="L38" s="81" t="n">
        <v>1473</v>
      </c>
      <c r="M38" s="81" t="n">
        <v>1531</v>
      </c>
      <c r="N38" s="81" t="n">
        <v>1643</v>
      </c>
      <c r="O38" s="80" t="n">
        <v>1739</v>
      </c>
      <c r="P38" s="80" t="n">
        <v>1975</v>
      </c>
      <c r="Q38" s="80" t="n">
        <v>1943</v>
      </c>
      <c r="R38" s="80" t="n">
        <v>2055</v>
      </c>
      <c r="S38" s="80" t="n">
        <v>2424</v>
      </c>
      <c r="T38" s="82" t="n">
        <v>2518</v>
      </c>
      <c r="U38" s="82" t="n">
        <v>2508</v>
      </c>
      <c r="V38" s="83" t="n">
        <v>2682</v>
      </c>
      <c r="W38" s="84" t="n">
        <v>2753</v>
      </c>
      <c r="X38" s="84" t="n">
        <v>2817.51</v>
      </c>
    </row>
    <row r="39" customFormat="false" ht="19.5" hidden="false" customHeight="true" outlineLevel="0" collapsed="false">
      <c r="A39" s="78"/>
      <c r="B39" s="42" t="s">
        <v>27</v>
      </c>
      <c r="C39" s="78" t="n">
        <v>8.43</v>
      </c>
      <c r="D39" s="85" t="n">
        <v>8.76</v>
      </c>
      <c r="E39" s="85" t="n">
        <v>8.62</v>
      </c>
      <c r="F39" s="85" t="n">
        <v>8.48</v>
      </c>
      <c r="G39" s="85" t="n">
        <v>8.74</v>
      </c>
      <c r="H39" s="85" t="n">
        <v>8.39</v>
      </c>
      <c r="I39" s="85" t="n">
        <v>9.24</v>
      </c>
      <c r="J39" s="85" t="n">
        <v>9.64</v>
      </c>
      <c r="K39" s="85" t="n">
        <v>10.18</v>
      </c>
      <c r="L39" s="85" t="n">
        <v>10.9</v>
      </c>
      <c r="M39" s="85" t="n">
        <v>10.92</v>
      </c>
      <c r="N39" s="85" t="n">
        <v>11.49</v>
      </c>
      <c r="O39" s="80" t="n">
        <v>11.85</v>
      </c>
      <c r="P39" s="80" t="n">
        <v>13.09</v>
      </c>
      <c r="Q39" s="80" t="n">
        <v>12.66</v>
      </c>
      <c r="R39" s="80" t="n">
        <v>13.11</v>
      </c>
      <c r="S39" s="80" t="n">
        <v>13.3</v>
      </c>
      <c r="T39" s="82" t="n">
        <v>13.61</v>
      </c>
      <c r="U39" s="82" t="n">
        <v>13.7</v>
      </c>
      <c r="V39" s="83" t="n">
        <v>14.33</v>
      </c>
      <c r="W39" s="84" t="n">
        <v>14.64</v>
      </c>
      <c r="X39" s="84" t="n">
        <v>13.69</v>
      </c>
    </row>
    <row r="40" customFormat="false" ht="19.5" hidden="false" customHeight="true" outlineLevel="0" collapsed="false">
      <c r="A40" s="78"/>
      <c r="B40" s="42" t="s">
        <v>24</v>
      </c>
      <c r="C40" s="78" t="n">
        <v>9</v>
      </c>
      <c r="D40" s="80" t="n">
        <v>9</v>
      </c>
      <c r="E40" s="80" t="n">
        <v>9</v>
      </c>
      <c r="F40" s="81" t="n">
        <v>11</v>
      </c>
      <c r="G40" s="81" t="n">
        <v>11</v>
      </c>
      <c r="H40" s="81" t="n">
        <v>12</v>
      </c>
      <c r="I40" s="90" t="n">
        <v>11.6</v>
      </c>
      <c r="J40" s="90" t="n">
        <v>14.7</v>
      </c>
      <c r="K40" s="90" t="n">
        <v>11.3</v>
      </c>
      <c r="L40" s="90" t="n">
        <v>11.6</v>
      </c>
      <c r="M40" s="90" t="n">
        <v>11.8</v>
      </c>
      <c r="N40" s="90" t="n">
        <v>11.8</v>
      </c>
      <c r="O40" s="85" t="n">
        <v>12.2</v>
      </c>
      <c r="P40" s="85" t="n">
        <v>11.97</v>
      </c>
      <c r="Q40" s="85" t="n">
        <v>11.72</v>
      </c>
      <c r="R40" s="85" t="n">
        <v>11.59</v>
      </c>
      <c r="S40" s="85" t="n">
        <v>11.4</v>
      </c>
      <c r="T40" s="86" t="n">
        <v>10.5</v>
      </c>
      <c r="U40" s="86" t="n">
        <v>10.56</v>
      </c>
      <c r="V40" s="87" t="n">
        <v>10.54</v>
      </c>
      <c r="W40" s="88" t="n">
        <v>11.3</v>
      </c>
      <c r="X40" s="84" t="n">
        <v>11.35</v>
      </c>
    </row>
    <row r="41" customFormat="false" ht="19.5" hidden="false" customHeight="true" outlineLevel="0" collapsed="false">
      <c r="A41" s="78" t="s">
        <v>70</v>
      </c>
      <c r="B41" s="42" t="s">
        <v>26</v>
      </c>
      <c r="C41" s="78" t="n">
        <v>10</v>
      </c>
      <c r="D41" s="80" t="n">
        <v>11</v>
      </c>
      <c r="E41" s="80" t="n">
        <v>11</v>
      </c>
      <c r="F41" s="81" t="n">
        <v>15</v>
      </c>
      <c r="G41" s="81" t="n">
        <v>14</v>
      </c>
      <c r="H41" s="81" t="n">
        <v>15</v>
      </c>
      <c r="I41" s="90" t="n">
        <v>15.1</v>
      </c>
      <c r="J41" s="90" t="n">
        <v>15.2</v>
      </c>
      <c r="K41" s="90" t="n">
        <v>16.4</v>
      </c>
      <c r="L41" s="90" t="n">
        <v>17</v>
      </c>
      <c r="M41" s="90" t="n">
        <v>17.1</v>
      </c>
      <c r="N41" s="90" t="n">
        <v>16.9</v>
      </c>
      <c r="O41" s="85" t="n">
        <v>17.7</v>
      </c>
      <c r="P41" s="85" t="n">
        <v>17.1</v>
      </c>
      <c r="Q41" s="85" t="n">
        <v>16.81</v>
      </c>
      <c r="R41" s="85" t="n">
        <v>16.98</v>
      </c>
      <c r="S41" s="85" t="n">
        <v>15.7</v>
      </c>
      <c r="T41" s="86" t="n">
        <v>12.96</v>
      </c>
      <c r="U41" s="86" t="n">
        <v>14.42</v>
      </c>
      <c r="V41" s="87" t="n">
        <v>14.42</v>
      </c>
      <c r="W41" s="88" t="n">
        <v>15.5</v>
      </c>
      <c r="X41" s="84" t="n">
        <v>15.75</v>
      </c>
    </row>
    <row r="42" customFormat="false" ht="19.5" hidden="false" customHeight="true" outlineLevel="0" collapsed="false">
      <c r="A42" s="78"/>
      <c r="B42" s="42" t="s">
        <v>27</v>
      </c>
      <c r="C42" s="78" t="n">
        <v>1.11</v>
      </c>
      <c r="D42" s="85" t="n">
        <v>1.21</v>
      </c>
      <c r="E42" s="85" t="n">
        <v>1.2</v>
      </c>
      <c r="F42" s="85" t="n">
        <v>1.34</v>
      </c>
      <c r="G42" s="85" t="n">
        <v>1.27</v>
      </c>
      <c r="H42" s="85" t="n">
        <v>1.26</v>
      </c>
      <c r="I42" s="85" t="n">
        <v>1.33</v>
      </c>
      <c r="J42" s="85" t="n">
        <v>1.04</v>
      </c>
      <c r="K42" s="85" t="n">
        <v>1.45</v>
      </c>
      <c r="L42" s="85" t="n">
        <v>1.45</v>
      </c>
      <c r="M42" s="85" t="n">
        <v>1.44</v>
      </c>
      <c r="N42" s="85" t="n">
        <v>1.43</v>
      </c>
      <c r="O42" s="80" t="n">
        <v>1.45</v>
      </c>
      <c r="P42" s="85" t="n">
        <v>1.43</v>
      </c>
      <c r="Q42" s="85" t="n">
        <v>1.43</v>
      </c>
      <c r="R42" s="85" t="n">
        <v>1.46</v>
      </c>
      <c r="S42" s="85" t="n">
        <v>1.38</v>
      </c>
      <c r="T42" s="86" t="n">
        <v>1.23</v>
      </c>
      <c r="U42" s="86" t="n">
        <v>1.36</v>
      </c>
      <c r="V42" s="87" t="n">
        <v>1.37</v>
      </c>
      <c r="W42" s="88" t="n">
        <v>1.37</v>
      </c>
      <c r="X42" s="84" t="n">
        <v>1.39</v>
      </c>
    </row>
    <row r="43" customFormat="false" ht="19.5" hidden="false" customHeight="true" outlineLevel="0" collapsed="false">
      <c r="A43" s="92" t="s">
        <v>32</v>
      </c>
      <c r="B43" s="92"/>
      <c r="C43" s="93" t="n">
        <f aca="false">C40+C37+C34+C31+C28</f>
        <v>306</v>
      </c>
      <c r="D43" s="73" t="n">
        <f aca="false">D40+D37+D34+D31+D28</f>
        <v>311</v>
      </c>
      <c r="E43" s="73" t="n">
        <f aca="false">E40+E37+E34+E31+E28</f>
        <v>325</v>
      </c>
      <c r="F43" s="73" t="n">
        <v>353</v>
      </c>
      <c r="G43" s="73" t="n">
        <f aca="false">G40+G37+G34+G31+G28</f>
        <v>357</v>
      </c>
      <c r="H43" s="73" t="n">
        <f aca="false">H40+H37+H34+H31+H28</f>
        <v>358</v>
      </c>
      <c r="I43" s="73" t="n">
        <f aca="false">I40+I37+I34+I31+I28</f>
        <v>378</v>
      </c>
      <c r="J43" s="73" t="n">
        <f aca="false">J40+J37+J34+J31+J28</f>
        <v>390</v>
      </c>
      <c r="K43" s="94" t="n">
        <f aca="false">K40+K37+K34+K31+K28</f>
        <v>392.5</v>
      </c>
      <c r="L43" s="94" t="n">
        <f aca="false">L40+L37+L34+L31+L28</f>
        <v>397.4</v>
      </c>
      <c r="M43" s="94" t="n">
        <f aca="false">M40+M37+M34+M31+M28</f>
        <v>402.4</v>
      </c>
      <c r="N43" s="94" t="n">
        <v>404.2</v>
      </c>
      <c r="O43" s="73" t="n">
        <v>409.2</v>
      </c>
      <c r="P43" s="95" t="n">
        <f aca="false">P28+P31+P34+P37+P40</f>
        <v>415.7</v>
      </c>
      <c r="Q43" s="94" t="n">
        <f aca="false">Q40+Q37+Q34+Q31+Q28</f>
        <v>416.45</v>
      </c>
      <c r="R43" s="94" t="n">
        <f aca="false">R40+R37+R34+R31+R28</f>
        <v>414.28</v>
      </c>
      <c r="S43" s="95" t="n">
        <f aca="false">S40+S37+S34+S31+S28</f>
        <v>434.94</v>
      </c>
      <c r="T43" s="96" t="n">
        <v>455.03</v>
      </c>
      <c r="U43" s="96" t="n">
        <v>461.26</v>
      </c>
      <c r="V43" s="97" t="n">
        <v>480.65</v>
      </c>
      <c r="W43" s="98" t="n">
        <v>480.1</v>
      </c>
      <c r="X43" s="98" t="n">
        <v>500.24</v>
      </c>
    </row>
    <row r="44" customFormat="false" ht="19.5" hidden="false" customHeight="true" outlineLevel="0" collapsed="false">
      <c r="A44" s="99" t="s">
        <v>33</v>
      </c>
      <c r="B44" s="99"/>
      <c r="C44" s="100" t="n">
        <f aca="false">C41+C38+C35+C32+C29</f>
        <v>2209</v>
      </c>
      <c r="D44" s="101" t="n">
        <f aca="false">D41+D38+D35+D32+D29</f>
        <v>2326</v>
      </c>
      <c r="E44" s="101" t="n">
        <f aca="false">E41+E38+E35+E32+E29</f>
        <v>2460</v>
      </c>
      <c r="F44" s="101" t="n">
        <v>2604</v>
      </c>
      <c r="G44" s="101" t="n">
        <f aca="false">G41+G38+G35+G32+G29</f>
        <v>2721</v>
      </c>
      <c r="H44" s="102" t="n">
        <f aca="false">H41+H38+H35+H32+H29</f>
        <v>2781.6</v>
      </c>
      <c r="I44" s="101" t="n">
        <f aca="false">I41+I38+I35+I32+I29</f>
        <v>3202</v>
      </c>
      <c r="J44" s="101" t="n">
        <f aca="false">J41+J38+J35+J32+J29</f>
        <v>3428</v>
      </c>
      <c r="K44" s="101" t="n">
        <f aca="false">K41+K38+K35+K32+K29</f>
        <v>3678.3</v>
      </c>
      <c r="L44" s="101" t="n">
        <f aca="false">L41+L38+L35+L32+L29</f>
        <v>3876.8</v>
      </c>
      <c r="M44" s="101" t="n">
        <f aca="false">M41+M38+M35+M32+M29</f>
        <v>4019.5</v>
      </c>
      <c r="N44" s="102" t="n">
        <v>4101.2</v>
      </c>
      <c r="O44" s="101" t="n">
        <v>4277.7</v>
      </c>
      <c r="P44" s="103" t="n">
        <f aca="false">P29+P32+P35+P38+P41</f>
        <v>4596.82</v>
      </c>
      <c r="Q44" s="103" t="n">
        <f aca="false">Q41+Q38+Q35+Q32+Q29</f>
        <v>4698.46</v>
      </c>
      <c r="R44" s="103" t="n">
        <f aca="false">R41+R38+R35+R32+R29</f>
        <v>4693.59</v>
      </c>
      <c r="S44" s="103" t="n">
        <f aca="false">S41+S38+S35+S32+S29</f>
        <v>4931.2</v>
      </c>
      <c r="T44" s="104" t="n">
        <v>5183.36</v>
      </c>
      <c r="U44" s="104" t="n">
        <v>5403.37</v>
      </c>
      <c r="V44" s="105" t="n">
        <v>5747.62</v>
      </c>
      <c r="W44" s="106" t="n">
        <v>5879.9</v>
      </c>
      <c r="X44" s="106" t="n">
        <v>6039.46</v>
      </c>
    </row>
    <row r="45" customFormat="false" ht="12.75" hidden="false" customHeight="false" outlineLevel="0" collapsed="false">
      <c r="A45" s="1" t="s">
        <v>71</v>
      </c>
    </row>
    <row r="46" customFormat="false" ht="12.75" hidden="false" customHeight="false" outlineLevel="0" collapsed="false">
      <c r="A46" s="1" t="s">
        <v>60</v>
      </c>
    </row>
  </sheetData>
  <mergeCells count="9">
    <mergeCell ref="A1:T1"/>
    <mergeCell ref="A5:B6"/>
    <mergeCell ref="C5:T5"/>
    <mergeCell ref="A22:B22"/>
    <mergeCell ref="A23:B23"/>
    <mergeCell ref="A26:B27"/>
    <mergeCell ref="C26:X26"/>
    <mergeCell ref="A43:B43"/>
    <mergeCell ref="A44:B44"/>
  </mergeCells>
  <printOptions headings="false" gridLines="false" gridLinesSet="true" horizontalCentered="true" verticalCentered="true"/>
  <pageMargins left="0.870138888888889" right="0.640277777777778" top="1.07986111111111" bottom="1.4597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J23" activeCellId="0" sqref="J23"/>
    </sheetView>
  </sheetViews>
  <sheetFormatPr defaultColWidth="7.78125" defaultRowHeight="12.75" customHeight="false" zeroHeight="false" outlineLevelRow="0" outlineLevelCol="0"/>
  <cols>
    <col collapsed="false" customWidth="true" hidden="false" outlineLevel="0" max="1" min="1" style="107" width="13.11"/>
    <col collapsed="false" customWidth="true" hidden="false" outlineLevel="0" max="13" min="2" style="107" width="6.88"/>
    <col collapsed="false" customWidth="true" hidden="false" outlineLevel="0" max="14" min="14" style="107" width="7.66"/>
    <col collapsed="false" customWidth="true" hidden="false" outlineLevel="0" max="15" min="15" style="107" width="7.88"/>
    <col collapsed="false" customWidth="true" hidden="false" outlineLevel="0" max="16" min="16" style="107" width="6.88"/>
    <col collapsed="false" customWidth="true" hidden="false" outlineLevel="0" max="17" min="17" style="107" width="6.55"/>
    <col collapsed="false" customWidth="true" hidden="false" outlineLevel="0" max="18" min="18" style="107" width="6.77"/>
    <col collapsed="false" customWidth="false" hidden="false" outlineLevel="0" max="255" min="19" style="107" width="7.78"/>
    <col collapsed="false" customWidth="true" hidden="false" outlineLevel="0" max="256" min="256" style="107" width="13.11"/>
    <col collapsed="false" customWidth="true" hidden="false" outlineLevel="0" max="268" min="257" style="107" width="6.88"/>
    <col collapsed="false" customWidth="true" hidden="false" outlineLevel="0" max="269" min="269" style="107" width="7.66"/>
    <col collapsed="false" customWidth="true" hidden="false" outlineLevel="0" max="270" min="270" style="107" width="7.88"/>
    <col collapsed="false" customWidth="true" hidden="false" outlineLevel="0" max="271" min="271" style="107" width="6.88"/>
    <col collapsed="false" customWidth="true" hidden="false" outlineLevel="0" max="272" min="272" style="107" width="6.55"/>
    <col collapsed="false" customWidth="true" hidden="false" outlineLevel="0" max="273" min="273" style="107" width="6.77"/>
    <col collapsed="false" customWidth="false" hidden="false" outlineLevel="0" max="511" min="274" style="107" width="7.78"/>
    <col collapsed="false" customWidth="true" hidden="false" outlineLevel="0" max="512" min="512" style="107" width="13.11"/>
    <col collapsed="false" customWidth="true" hidden="false" outlineLevel="0" max="524" min="513" style="107" width="6.88"/>
    <col collapsed="false" customWidth="true" hidden="false" outlineLevel="0" max="525" min="525" style="107" width="7.66"/>
    <col collapsed="false" customWidth="true" hidden="false" outlineLevel="0" max="526" min="526" style="107" width="7.88"/>
    <col collapsed="false" customWidth="true" hidden="false" outlineLevel="0" max="527" min="527" style="107" width="6.88"/>
    <col collapsed="false" customWidth="true" hidden="false" outlineLevel="0" max="528" min="528" style="107" width="6.55"/>
    <col collapsed="false" customWidth="true" hidden="false" outlineLevel="0" max="529" min="529" style="107" width="6.77"/>
    <col collapsed="false" customWidth="false" hidden="false" outlineLevel="0" max="767" min="530" style="107" width="7.78"/>
    <col collapsed="false" customWidth="true" hidden="false" outlineLevel="0" max="768" min="768" style="107" width="13.11"/>
    <col collapsed="false" customWidth="true" hidden="false" outlineLevel="0" max="780" min="769" style="107" width="6.88"/>
    <col collapsed="false" customWidth="true" hidden="false" outlineLevel="0" max="781" min="781" style="107" width="7.66"/>
    <col collapsed="false" customWidth="true" hidden="false" outlineLevel="0" max="782" min="782" style="107" width="7.88"/>
    <col collapsed="false" customWidth="true" hidden="false" outlineLevel="0" max="783" min="783" style="107" width="6.88"/>
    <col collapsed="false" customWidth="true" hidden="false" outlineLevel="0" max="784" min="784" style="107" width="6.55"/>
    <col collapsed="false" customWidth="true" hidden="false" outlineLevel="0" max="785" min="785" style="107" width="6.77"/>
    <col collapsed="false" customWidth="false" hidden="false" outlineLevel="0" max="1023" min="786" style="107" width="7.78"/>
    <col collapsed="false" customWidth="true" hidden="false" outlineLevel="0" max="1024" min="1024" style="107" width="13.11"/>
    <col collapsed="false" customWidth="true" hidden="false" outlineLevel="0" max="1036" min="1025" style="107" width="6.88"/>
    <col collapsed="false" customWidth="true" hidden="false" outlineLevel="0" max="1037" min="1037" style="107" width="7.66"/>
    <col collapsed="false" customWidth="true" hidden="false" outlineLevel="0" max="1038" min="1038" style="107" width="7.88"/>
    <col collapsed="false" customWidth="true" hidden="false" outlineLevel="0" max="1039" min="1039" style="107" width="6.88"/>
    <col collapsed="false" customWidth="true" hidden="false" outlineLevel="0" max="1040" min="1040" style="107" width="6.55"/>
    <col collapsed="false" customWidth="true" hidden="false" outlineLevel="0" max="1041" min="1041" style="107" width="6.77"/>
    <col collapsed="false" customWidth="false" hidden="false" outlineLevel="0" max="1279" min="1042" style="107" width="7.78"/>
    <col collapsed="false" customWidth="true" hidden="false" outlineLevel="0" max="1280" min="1280" style="107" width="13.11"/>
    <col collapsed="false" customWidth="true" hidden="false" outlineLevel="0" max="1292" min="1281" style="107" width="6.88"/>
    <col collapsed="false" customWidth="true" hidden="false" outlineLevel="0" max="1293" min="1293" style="107" width="7.66"/>
    <col collapsed="false" customWidth="true" hidden="false" outlineLevel="0" max="1294" min="1294" style="107" width="7.88"/>
    <col collapsed="false" customWidth="true" hidden="false" outlineLevel="0" max="1295" min="1295" style="107" width="6.88"/>
    <col collapsed="false" customWidth="true" hidden="false" outlineLevel="0" max="1296" min="1296" style="107" width="6.55"/>
    <col collapsed="false" customWidth="true" hidden="false" outlineLevel="0" max="1297" min="1297" style="107" width="6.77"/>
    <col collapsed="false" customWidth="false" hidden="false" outlineLevel="0" max="1535" min="1298" style="107" width="7.78"/>
    <col collapsed="false" customWidth="true" hidden="false" outlineLevel="0" max="1536" min="1536" style="107" width="13.11"/>
    <col collapsed="false" customWidth="true" hidden="false" outlineLevel="0" max="1548" min="1537" style="107" width="6.88"/>
    <col collapsed="false" customWidth="true" hidden="false" outlineLevel="0" max="1549" min="1549" style="107" width="7.66"/>
    <col collapsed="false" customWidth="true" hidden="false" outlineLevel="0" max="1550" min="1550" style="107" width="7.88"/>
    <col collapsed="false" customWidth="true" hidden="false" outlineLevel="0" max="1551" min="1551" style="107" width="6.88"/>
    <col collapsed="false" customWidth="true" hidden="false" outlineLevel="0" max="1552" min="1552" style="107" width="6.55"/>
    <col collapsed="false" customWidth="true" hidden="false" outlineLevel="0" max="1553" min="1553" style="107" width="6.77"/>
    <col collapsed="false" customWidth="false" hidden="false" outlineLevel="0" max="1791" min="1554" style="107" width="7.78"/>
    <col collapsed="false" customWidth="true" hidden="false" outlineLevel="0" max="1792" min="1792" style="107" width="13.11"/>
    <col collapsed="false" customWidth="true" hidden="false" outlineLevel="0" max="1804" min="1793" style="107" width="6.88"/>
    <col collapsed="false" customWidth="true" hidden="false" outlineLevel="0" max="1805" min="1805" style="107" width="7.66"/>
    <col collapsed="false" customWidth="true" hidden="false" outlineLevel="0" max="1806" min="1806" style="107" width="7.88"/>
    <col collapsed="false" customWidth="true" hidden="false" outlineLevel="0" max="1807" min="1807" style="107" width="6.88"/>
    <col collapsed="false" customWidth="true" hidden="false" outlineLevel="0" max="1808" min="1808" style="107" width="6.55"/>
    <col collapsed="false" customWidth="true" hidden="false" outlineLevel="0" max="1809" min="1809" style="107" width="6.77"/>
    <col collapsed="false" customWidth="false" hidden="false" outlineLevel="0" max="2047" min="1810" style="107" width="7.78"/>
    <col collapsed="false" customWidth="true" hidden="false" outlineLevel="0" max="2048" min="2048" style="107" width="13.11"/>
    <col collapsed="false" customWidth="true" hidden="false" outlineLevel="0" max="2060" min="2049" style="107" width="6.88"/>
    <col collapsed="false" customWidth="true" hidden="false" outlineLevel="0" max="2061" min="2061" style="107" width="7.66"/>
    <col collapsed="false" customWidth="true" hidden="false" outlineLevel="0" max="2062" min="2062" style="107" width="7.88"/>
    <col collapsed="false" customWidth="true" hidden="false" outlineLevel="0" max="2063" min="2063" style="107" width="6.88"/>
    <col collapsed="false" customWidth="true" hidden="false" outlineLevel="0" max="2064" min="2064" style="107" width="6.55"/>
    <col collapsed="false" customWidth="true" hidden="false" outlineLevel="0" max="2065" min="2065" style="107" width="6.77"/>
    <col collapsed="false" customWidth="false" hidden="false" outlineLevel="0" max="2303" min="2066" style="107" width="7.78"/>
    <col collapsed="false" customWidth="true" hidden="false" outlineLevel="0" max="2304" min="2304" style="107" width="13.11"/>
    <col collapsed="false" customWidth="true" hidden="false" outlineLevel="0" max="2316" min="2305" style="107" width="6.88"/>
    <col collapsed="false" customWidth="true" hidden="false" outlineLevel="0" max="2317" min="2317" style="107" width="7.66"/>
    <col collapsed="false" customWidth="true" hidden="false" outlineLevel="0" max="2318" min="2318" style="107" width="7.88"/>
    <col collapsed="false" customWidth="true" hidden="false" outlineLevel="0" max="2319" min="2319" style="107" width="6.88"/>
    <col collapsed="false" customWidth="true" hidden="false" outlineLevel="0" max="2320" min="2320" style="107" width="6.55"/>
    <col collapsed="false" customWidth="true" hidden="false" outlineLevel="0" max="2321" min="2321" style="107" width="6.77"/>
    <col collapsed="false" customWidth="false" hidden="false" outlineLevel="0" max="2559" min="2322" style="107" width="7.78"/>
    <col collapsed="false" customWidth="true" hidden="false" outlineLevel="0" max="2560" min="2560" style="107" width="13.11"/>
    <col collapsed="false" customWidth="true" hidden="false" outlineLevel="0" max="2572" min="2561" style="107" width="6.88"/>
    <col collapsed="false" customWidth="true" hidden="false" outlineLevel="0" max="2573" min="2573" style="107" width="7.66"/>
    <col collapsed="false" customWidth="true" hidden="false" outlineLevel="0" max="2574" min="2574" style="107" width="7.88"/>
    <col collapsed="false" customWidth="true" hidden="false" outlineLevel="0" max="2575" min="2575" style="107" width="6.88"/>
    <col collapsed="false" customWidth="true" hidden="false" outlineLevel="0" max="2576" min="2576" style="107" width="6.55"/>
    <col collapsed="false" customWidth="true" hidden="false" outlineLevel="0" max="2577" min="2577" style="107" width="6.77"/>
    <col collapsed="false" customWidth="false" hidden="false" outlineLevel="0" max="2815" min="2578" style="107" width="7.78"/>
    <col collapsed="false" customWidth="true" hidden="false" outlineLevel="0" max="2816" min="2816" style="107" width="13.11"/>
    <col collapsed="false" customWidth="true" hidden="false" outlineLevel="0" max="2828" min="2817" style="107" width="6.88"/>
    <col collapsed="false" customWidth="true" hidden="false" outlineLevel="0" max="2829" min="2829" style="107" width="7.66"/>
    <col collapsed="false" customWidth="true" hidden="false" outlineLevel="0" max="2830" min="2830" style="107" width="7.88"/>
    <col collapsed="false" customWidth="true" hidden="false" outlineLevel="0" max="2831" min="2831" style="107" width="6.88"/>
    <col collapsed="false" customWidth="true" hidden="false" outlineLevel="0" max="2832" min="2832" style="107" width="6.55"/>
    <col collapsed="false" customWidth="true" hidden="false" outlineLevel="0" max="2833" min="2833" style="107" width="6.77"/>
    <col collapsed="false" customWidth="false" hidden="false" outlineLevel="0" max="3071" min="2834" style="107" width="7.78"/>
    <col collapsed="false" customWidth="true" hidden="false" outlineLevel="0" max="3072" min="3072" style="107" width="13.11"/>
    <col collapsed="false" customWidth="true" hidden="false" outlineLevel="0" max="3084" min="3073" style="107" width="6.88"/>
    <col collapsed="false" customWidth="true" hidden="false" outlineLevel="0" max="3085" min="3085" style="107" width="7.66"/>
    <col collapsed="false" customWidth="true" hidden="false" outlineLevel="0" max="3086" min="3086" style="107" width="7.88"/>
    <col collapsed="false" customWidth="true" hidden="false" outlineLevel="0" max="3087" min="3087" style="107" width="6.88"/>
    <col collapsed="false" customWidth="true" hidden="false" outlineLevel="0" max="3088" min="3088" style="107" width="6.55"/>
    <col collapsed="false" customWidth="true" hidden="false" outlineLevel="0" max="3089" min="3089" style="107" width="6.77"/>
    <col collapsed="false" customWidth="false" hidden="false" outlineLevel="0" max="3327" min="3090" style="107" width="7.78"/>
    <col collapsed="false" customWidth="true" hidden="false" outlineLevel="0" max="3328" min="3328" style="107" width="13.11"/>
    <col collapsed="false" customWidth="true" hidden="false" outlineLevel="0" max="3340" min="3329" style="107" width="6.88"/>
    <col collapsed="false" customWidth="true" hidden="false" outlineLevel="0" max="3341" min="3341" style="107" width="7.66"/>
    <col collapsed="false" customWidth="true" hidden="false" outlineLevel="0" max="3342" min="3342" style="107" width="7.88"/>
    <col collapsed="false" customWidth="true" hidden="false" outlineLevel="0" max="3343" min="3343" style="107" width="6.88"/>
    <col collapsed="false" customWidth="true" hidden="false" outlineLevel="0" max="3344" min="3344" style="107" width="6.55"/>
    <col collapsed="false" customWidth="true" hidden="false" outlineLevel="0" max="3345" min="3345" style="107" width="6.77"/>
    <col collapsed="false" customWidth="false" hidden="false" outlineLevel="0" max="3583" min="3346" style="107" width="7.78"/>
    <col collapsed="false" customWidth="true" hidden="false" outlineLevel="0" max="3584" min="3584" style="107" width="13.11"/>
    <col collapsed="false" customWidth="true" hidden="false" outlineLevel="0" max="3596" min="3585" style="107" width="6.88"/>
    <col collapsed="false" customWidth="true" hidden="false" outlineLevel="0" max="3597" min="3597" style="107" width="7.66"/>
    <col collapsed="false" customWidth="true" hidden="false" outlineLevel="0" max="3598" min="3598" style="107" width="7.88"/>
    <col collapsed="false" customWidth="true" hidden="false" outlineLevel="0" max="3599" min="3599" style="107" width="6.88"/>
    <col collapsed="false" customWidth="true" hidden="false" outlineLevel="0" max="3600" min="3600" style="107" width="6.55"/>
    <col collapsed="false" customWidth="true" hidden="false" outlineLevel="0" max="3601" min="3601" style="107" width="6.77"/>
    <col collapsed="false" customWidth="false" hidden="false" outlineLevel="0" max="3839" min="3602" style="107" width="7.78"/>
    <col collapsed="false" customWidth="true" hidden="false" outlineLevel="0" max="3840" min="3840" style="107" width="13.11"/>
    <col collapsed="false" customWidth="true" hidden="false" outlineLevel="0" max="3852" min="3841" style="107" width="6.88"/>
    <col collapsed="false" customWidth="true" hidden="false" outlineLevel="0" max="3853" min="3853" style="107" width="7.66"/>
    <col collapsed="false" customWidth="true" hidden="false" outlineLevel="0" max="3854" min="3854" style="107" width="7.88"/>
    <col collapsed="false" customWidth="true" hidden="false" outlineLevel="0" max="3855" min="3855" style="107" width="6.88"/>
    <col collapsed="false" customWidth="true" hidden="false" outlineLevel="0" max="3856" min="3856" style="107" width="6.55"/>
    <col collapsed="false" customWidth="true" hidden="false" outlineLevel="0" max="3857" min="3857" style="107" width="6.77"/>
    <col collapsed="false" customWidth="false" hidden="false" outlineLevel="0" max="4095" min="3858" style="107" width="7.78"/>
    <col collapsed="false" customWidth="true" hidden="false" outlineLevel="0" max="4096" min="4096" style="107" width="13.11"/>
    <col collapsed="false" customWidth="true" hidden="false" outlineLevel="0" max="4108" min="4097" style="107" width="6.88"/>
    <col collapsed="false" customWidth="true" hidden="false" outlineLevel="0" max="4109" min="4109" style="107" width="7.66"/>
    <col collapsed="false" customWidth="true" hidden="false" outlineLevel="0" max="4110" min="4110" style="107" width="7.88"/>
    <col collapsed="false" customWidth="true" hidden="false" outlineLevel="0" max="4111" min="4111" style="107" width="6.88"/>
    <col collapsed="false" customWidth="true" hidden="false" outlineLevel="0" max="4112" min="4112" style="107" width="6.55"/>
    <col collapsed="false" customWidth="true" hidden="false" outlineLevel="0" max="4113" min="4113" style="107" width="6.77"/>
    <col collapsed="false" customWidth="false" hidden="false" outlineLevel="0" max="4351" min="4114" style="107" width="7.78"/>
    <col collapsed="false" customWidth="true" hidden="false" outlineLevel="0" max="4352" min="4352" style="107" width="13.11"/>
    <col collapsed="false" customWidth="true" hidden="false" outlineLevel="0" max="4364" min="4353" style="107" width="6.88"/>
    <col collapsed="false" customWidth="true" hidden="false" outlineLevel="0" max="4365" min="4365" style="107" width="7.66"/>
    <col collapsed="false" customWidth="true" hidden="false" outlineLevel="0" max="4366" min="4366" style="107" width="7.88"/>
    <col collapsed="false" customWidth="true" hidden="false" outlineLevel="0" max="4367" min="4367" style="107" width="6.88"/>
    <col collapsed="false" customWidth="true" hidden="false" outlineLevel="0" max="4368" min="4368" style="107" width="6.55"/>
    <col collapsed="false" customWidth="true" hidden="false" outlineLevel="0" max="4369" min="4369" style="107" width="6.77"/>
    <col collapsed="false" customWidth="false" hidden="false" outlineLevel="0" max="4607" min="4370" style="107" width="7.78"/>
    <col collapsed="false" customWidth="true" hidden="false" outlineLevel="0" max="4608" min="4608" style="107" width="13.11"/>
    <col collapsed="false" customWidth="true" hidden="false" outlineLevel="0" max="4620" min="4609" style="107" width="6.88"/>
    <col collapsed="false" customWidth="true" hidden="false" outlineLevel="0" max="4621" min="4621" style="107" width="7.66"/>
    <col collapsed="false" customWidth="true" hidden="false" outlineLevel="0" max="4622" min="4622" style="107" width="7.88"/>
    <col collapsed="false" customWidth="true" hidden="false" outlineLevel="0" max="4623" min="4623" style="107" width="6.88"/>
    <col collapsed="false" customWidth="true" hidden="false" outlineLevel="0" max="4624" min="4624" style="107" width="6.55"/>
    <col collapsed="false" customWidth="true" hidden="false" outlineLevel="0" max="4625" min="4625" style="107" width="6.77"/>
    <col collapsed="false" customWidth="false" hidden="false" outlineLevel="0" max="4863" min="4626" style="107" width="7.78"/>
    <col collapsed="false" customWidth="true" hidden="false" outlineLevel="0" max="4864" min="4864" style="107" width="13.11"/>
    <col collapsed="false" customWidth="true" hidden="false" outlineLevel="0" max="4876" min="4865" style="107" width="6.88"/>
    <col collapsed="false" customWidth="true" hidden="false" outlineLevel="0" max="4877" min="4877" style="107" width="7.66"/>
    <col collapsed="false" customWidth="true" hidden="false" outlineLevel="0" max="4878" min="4878" style="107" width="7.88"/>
    <col collapsed="false" customWidth="true" hidden="false" outlineLevel="0" max="4879" min="4879" style="107" width="6.88"/>
    <col collapsed="false" customWidth="true" hidden="false" outlineLevel="0" max="4880" min="4880" style="107" width="6.55"/>
    <col collapsed="false" customWidth="true" hidden="false" outlineLevel="0" max="4881" min="4881" style="107" width="6.77"/>
    <col collapsed="false" customWidth="false" hidden="false" outlineLevel="0" max="5119" min="4882" style="107" width="7.78"/>
    <col collapsed="false" customWidth="true" hidden="false" outlineLevel="0" max="5120" min="5120" style="107" width="13.11"/>
    <col collapsed="false" customWidth="true" hidden="false" outlineLevel="0" max="5132" min="5121" style="107" width="6.88"/>
    <col collapsed="false" customWidth="true" hidden="false" outlineLevel="0" max="5133" min="5133" style="107" width="7.66"/>
    <col collapsed="false" customWidth="true" hidden="false" outlineLevel="0" max="5134" min="5134" style="107" width="7.88"/>
    <col collapsed="false" customWidth="true" hidden="false" outlineLevel="0" max="5135" min="5135" style="107" width="6.88"/>
    <col collapsed="false" customWidth="true" hidden="false" outlineLevel="0" max="5136" min="5136" style="107" width="6.55"/>
    <col collapsed="false" customWidth="true" hidden="false" outlineLevel="0" max="5137" min="5137" style="107" width="6.77"/>
    <col collapsed="false" customWidth="false" hidden="false" outlineLevel="0" max="5375" min="5138" style="107" width="7.78"/>
    <col collapsed="false" customWidth="true" hidden="false" outlineLevel="0" max="5376" min="5376" style="107" width="13.11"/>
    <col collapsed="false" customWidth="true" hidden="false" outlineLevel="0" max="5388" min="5377" style="107" width="6.88"/>
    <col collapsed="false" customWidth="true" hidden="false" outlineLevel="0" max="5389" min="5389" style="107" width="7.66"/>
    <col collapsed="false" customWidth="true" hidden="false" outlineLevel="0" max="5390" min="5390" style="107" width="7.88"/>
    <col collapsed="false" customWidth="true" hidden="false" outlineLevel="0" max="5391" min="5391" style="107" width="6.88"/>
    <col collapsed="false" customWidth="true" hidden="false" outlineLevel="0" max="5392" min="5392" style="107" width="6.55"/>
    <col collapsed="false" customWidth="true" hidden="false" outlineLevel="0" max="5393" min="5393" style="107" width="6.77"/>
    <col collapsed="false" customWidth="false" hidden="false" outlineLevel="0" max="5631" min="5394" style="107" width="7.78"/>
    <col collapsed="false" customWidth="true" hidden="false" outlineLevel="0" max="5632" min="5632" style="107" width="13.11"/>
    <col collapsed="false" customWidth="true" hidden="false" outlineLevel="0" max="5644" min="5633" style="107" width="6.88"/>
    <col collapsed="false" customWidth="true" hidden="false" outlineLevel="0" max="5645" min="5645" style="107" width="7.66"/>
    <col collapsed="false" customWidth="true" hidden="false" outlineLevel="0" max="5646" min="5646" style="107" width="7.88"/>
    <col collapsed="false" customWidth="true" hidden="false" outlineLevel="0" max="5647" min="5647" style="107" width="6.88"/>
    <col collapsed="false" customWidth="true" hidden="false" outlineLevel="0" max="5648" min="5648" style="107" width="6.55"/>
    <col collapsed="false" customWidth="true" hidden="false" outlineLevel="0" max="5649" min="5649" style="107" width="6.77"/>
    <col collapsed="false" customWidth="false" hidden="false" outlineLevel="0" max="5887" min="5650" style="107" width="7.78"/>
    <col collapsed="false" customWidth="true" hidden="false" outlineLevel="0" max="5888" min="5888" style="107" width="13.11"/>
    <col collapsed="false" customWidth="true" hidden="false" outlineLevel="0" max="5900" min="5889" style="107" width="6.88"/>
    <col collapsed="false" customWidth="true" hidden="false" outlineLevel="0" max="5901" min="5901" style="107" width="7.66"/>
    <col collapsed="false" customWidth="true" hidden="false" outlineLevel="0" max="5902" min="5902" style="107" width="7.88"/>
    <col collapsed="false" customWidth="true" hidden="false" outlineLevel="0" max="5903" min="5903" style="107" width="6.88"/>
    <col collapsed="false" customWidth="true" hidden="false" outlineLevel="0" max="5904" min="5904" style="107" width="6.55"/>
    <col collapsed="false" customWidth="true" hidden="false" outlineLevel="0" max="5905" min="5905" style="107" width="6.77"/>
    <col collapsed="false" customWidth="false" hidden="false" outlineLevel="0" max="6143" min="5906" style="107" width="7.78"/>
    <col collapsed="false" customWidth="true" hidden="false" outlineLevel="0" max="6144" min="6144" style="107" width="13.11"/>
    <col collapsed="false" customWidth="true" hidden="false" outlineLevel="0" max="6156" min="6145" style="107" width="6.88"/>
    <col collapsed="false" customWidth="true" hidden="false" outlineLevel="0" max="6157" min="6157" style="107" width="7.66"/>
    <col collapsed="false" customWidth="true" hidden="false" outlineLevel="0" max="6158" min="6158" style="107" width="7.88"/>
    <col collapsed="false" customWidth="true" hidden="false" outlineLevel="0" max="6159" min="6159" style="107" width="6.88"/>
    <col collapsed="false" customWidth="true" hidden="false" outlineLevel="0" max="6160" min="6160" style="107" width="6.55"/>
    <col collapsed="false" customWidth="true" hidden="false" outlineLevel="0" max="6161" min="6161" style="107" width="6.77"/>
    <col collapsed="false" customWidth="false" hidden="false" outlineLevel="0" max="6399" min="6162" style="107" width="7.78"/>
    <col collapsed="false" customWidth="true" hidden="false" outlineLevel="0" max="6400" min="6400" style="107" width="13.11"/>
    <col collapsed="false" customWidth="true" hidden="false" outlineLevel="0" max="6412" min="6401" style="107" width="6.88"/>
    <col collapsed="false" customWidth="true" hidden="false" outlineLevel="0" max="6413" min="6413" style="107" width="7.66"/>
    <col collapsed="false" customWidth="true" hidden="false" outlineLevel="0" max="6414" min="6414" style="107" width="7.88"/>
    <col collapsed="false" customWidth="true" hidden="false" outlineLevel="0" max="6415" min="6415" style="107" width="6.88"/>
    <col collapsed="false" customWidth="true" hidden="false" outlineLevel="0" max="6416" min="6416" style="107" width="6.55"/>
    <col collapsed="false" customWidth="true" hidden="false" outlineLevel="0" max="6417" min="6417" style="107" width="6.77"/>
    <col collapsed="false" customWidth="false" hidden="false" outlineLevel="0" max="6655" min="6418" style="107" width="7.78"/>
    <col collapsed="false" customWidth="true" hidden="false" outlineLevel="0" max="6656" min="6656" style="107" width="13.11"/>
    <col collapsed="false" customWidth="true" hidden="false" outlineLevel="0" max="6668" min="6657" style="107" width="6.88"/>
    <col collapsed="false" customWidth="true" hidden="false" outlineLevel="0" max="6669" min="6669" style="107" width="7.66"/>
    <col collapsed="false" customWidth="true" hidden="false" outlineLevel="0" max="6670" min="6670" style="107" width="7.88"/>
    <col collapsed="false" customWidth="true" hidden="false" outlineLevel="0" max="6671" min="6671" style="107" width="6.88"/>
    <col collapsed="false" customWidth="true" hidden="false" outlineLevel="0" max="6672" min="6672" style="107" width="6.55"/>
    <col collapsed="false" customWidth="true" hidden="false" outlineLevel="0" max="6673" min="6673" style="107" width="6.77"/>
    <col collapsed="false" customWidth="false" hidden="false" outlineLevel="0" max="6911" min="6674" style="107" width="7.78"/>
    <col collapsed="false" customWidth="true" hidden="false" outlineLevel="0" max="6912" min="6912" style="107" width="13.11"/>
    <col collapsed="false" customWidth="true" hidden="false" outlineLevel="0" max="6924" min="6913" style="107" width="6.88"/>
    <col collapsed="false" customWidth="true" hidden="false" outlineLevel="0" max="6925" min="6925" style="107" width="7.66"/>
    <col collapsed="false" customWidth="true" hidden="false" outlineLevel="0" max="6926" min="6926" style="107" width="7.88"/>
    <col collapsed="false" customWidth="true" hidden="false" outlineLevel="0" max="6927" min="6927" style="107" width="6.88"/>
    <col collapsed="false" customWidth="true" hidden="false" outlineLevel="0" max="6928" min="6928" style="107" width="6.55"/>
    <col collapsed="false" customWidth="true" hidden="false" outlineLevel="0" max="6929" min="6929" style="107" width="6.77"/>
    <col collapsed="false" customWidth="false" hidden="false" outlineLevel="0" max="7167" min="6930" style="107" width="7.78"/>
    <col collapsed="false" customWidth="true" hidden="false" outlineLevel="0" max="7168" min="7168" style="107" width="13.11"/>
    <col collapsed="false" customWidth="true" hidden="false" outlineLevel="0" max="7180" min="7169" style="107" width="6.88"/>
    <col collapsed="false" customWidth="true" hidden="false" outlineLevel="0" max="7181" min="7181" style="107" width="7.66"/>
    <col collapsed="false" customWidth="true" hidden="false" outlineLevel="0" max="7182" min="7182" style="107" width="7.88"/>
    <col collapsed="false" customWidth="true" hidden="false" outlineLevel="0" max="7183" min="7183" style="107" width="6.88"/>
    <col collapsed="false" customWidth="true" hidden="false" outlineLevel="0" max="7184" min="7184" style="107" width="6.55"/>
    <col collapsed="false" customWidth="true" hidden="false" outlineLevel="0" max="7185" min="7185" style="107" width="6.77"/>
    <col collapsed="false" customWidth="false" hidden="false" outlineLevel="0" max="7423" min="7186" style="107" width="7.78"/>
    <col collapsed="false" customWidth="true" hidden="false" outlineLevel="0" max="7424" min="7424" style="107" width="13.11"/>
    <col collapsed="false" customWidth="true" hidden="false" outlineLevel="0" max="7436" min="7425" style="107" width="6.88"/>
    <col collapsed="false" customWidth="true" hidden="false" outlineLevel="0" max="7437" min="7437" style="107" width="7.66"/>
    <col collapsed="false" customWidth="true" hidden="false" outlineLevel="0" max="7438" min="7438" style="107" width="7.88"/>
    <col collapsed="false" customWidth="true" hidden="false" outlineLevel="0" max="7439" min="7439" style="107" width="6.88"/>
    <col collapsed="false" customWidth="true" hidden="false" outlineLevel="0" max="7440" min="7440" style="107" width="6.55"/>
    <col collapsed="false" customWidth="true" hidden="false" outlineLevel="0" max="7441" min="7441" style="107" width="6.77"/>
    <col collapsed="false" customWidth="false" hidden="false" outlineLevel="0" max="7679" min="7442" style="107" width="7.78"/>
    <col collapsed="false" customWidth="true" hidden="false" outlineLevel="0" max="7680" min="7680" style="107" width="13.11"/>
    <col collapsed="false" customWidth="true" hidden="false" outlineLevel="0" max="7692" min="7681" style="107" width="6.88"/>
    <col collapsed="false" customWidth="true" hidden="false" outlineLevel="0" max="7693" min="7693" style="107" width="7.66"/>
    <col collapsed="false" customWidth="true" hidden="false" outlineLevel="0" max="7694" min="7694" style="107" width="7.88"/>
    <col collapsed="false" customWidth="true" hidden="false" outlineLevel="0" max="7695" min="7695" style="107" width="6.88"/>
    <col collapsed="false" customWidth="true" hidden="false" outlineLevel="0" max="7696" min="7696" style="107" width="6.55"/>
    <col collapsed="false" customWidth="true" hidden="false" outlineLevel="0" max="7697" min="7697" style="107" width="6.77"/>
    <col collapsed="false" customWidth="false" hidden="false" outlineLevel="0" max="7935" min="7698" style="107" width="7.78"/>
    <col collapsed="false" customWidth="true" hidden="false" outlineLevel="0" max="7936" min="7936" style="107" width="13.11"/>
    <col collapsed="false" customWidth="true" hidden="false" outlineLevel="0" max="7948" min="7937" style="107" width="6.88"/>
    <col collapsed="false" customWidth="true" hidden="false" outlineLevel="0" max="7949" min="7949" style="107" width="7.66"/>
    <col collapsed="false" customWidth="true" hidden="false" outlineLevel="0" max="7950" min="7950" style="107" width="7.88"/>
    <col collapsed="false" customWidth="true" hidden="false" outlineLevel="0" max="7951" min="7951" style="107" width="6.88"/>
    <col collapsed="false" customWidth="true" hidden="false" outlineLevel="0" max="7952" min="7952" style="107" width="6.55"/>
    <col collapsed="false" customWidth="true" hidden="false" outlineLevel="0" max="7953" min="7953" style="107" width="6.77"/>
    <col collapsed="false" customWidth="false" hidden="false" outlineLevel="0" max="8191" min="7954" style="107" width="7.78"/>
    <col collapsed="false" customWidth="true" hidden="false" outlineLevel="0" max="8192" min="8192" style="107" width="13.11"/>
    <col collapsed="false" customWidth="true" hidden="false" outlineLevel="0" max="8204" min="8193" style="107" width="6.88"/>
    <col collapsed="false" customWidth="true" hidden="false" outlineLevel="0" max="8205" min="8205" style="107" width="7.66"/>
    <col collapsed="false" customWidth="true" hidden="false" outlineLevel="0" max="8206" min="8206" style="107" width="7.88"/>
    <col collapsed="false" customWidth="true" hidden="false" outlineLevel="0" max="8207" min="8207" style="107" width="6.88"/>
    <col collapsed="false" customWidth="true" hidden="false" outlineLevel="0" max="8208" min="8208" style="107" width="6.55"/>
    <col collapsed="false" customWidth="true" hidden="false" outlineLevel="0" max="8209" min="8209" style="107" width="6.77"/>
    <col collapsed="false" customWidth="false" hidden="false" outlineLevel="0" max="8447" min="8210" style="107" width="7.78"/>
    <col collapsed="false" customWidth="true" hidden="false" outlineLevel="0" max="8448" min="8448" style="107" width="13.11"/>
    <col collapsed="false" customWidth="true" hidden="false" outlineLevel="0" max="8460" min="8449" style="107" width="6.88"/>
    <col collapsed="false" customWidth="true" hidden="false" outlineLevel="0" max="8461" min="8461" style="107" width="7.66"/>
    <col collapsed="false" customWidth="true" hidden="false" outlineLevel="0" max="8462" min="8462" style="107" width="7.88"/>
    <col collapsed="false" customWidth="true" hidden="false" outlineLevel="0" max="8463" min="8463" style="107" width="6.88"/>
    <col collapsed="false" customWidth="true" hidden="false" outlineLevel="0" max="8464" min="8464" style="107" width="6.55"/>
    <col collapsed="false" customWidth="true" hidden="false" outlineLevel="0" max="8465" min="8465" style="107" width="6.77"/>
    <col collapsed="false" customWidth="false" hidden="false" outlineLevel="0" max="8703" min="8466" style="107" width="7.78"/>
    <col collapsed="false" customWidth="true" hidden="false" outlineLevel="0" max="8704" min="8704" style="107" width="13.11"/>
    <col collapsed="false" customWidth="true" hidden="false" outlineLevel="0" max="8716" min="8705" style="107" width="6.88"/>
    <col collapsed="false" customWidth="true" hidden="false" outlineLevel="0" max="8717" min="8717" style="107" width="7.66"/>
    <col collapsed="false" customWidth="true" hidden="false" outlineLevel="0" max="8718" min="8718" style="107" width="7.88"/>
    <col collapsed="false" customWidth="true" hidden="false" outlineLevel="0" max="8719" min="8719" style="107" width="6.88"/>
    <col collapsed="false" customWidth="true" hidden="false" outlineLevel="0" max="8720" min="8720" style="107" width="6.55"/>
    <col collapsed="false" customWidth="true" hidden="false" outlineLevel="0" max="8721" min="8721" style="107" width="6.77"/>
    <col collapsed="false" customWidth="false" hidden="false" outlineLevel="0" max="8959" min="8722" style="107" width="7.78"/>
    <col collapsed="false" customWidth="true" hidden="false" outlineLevel="0" max="8960" min="8960" style="107" width="13.11"/>
    <col collapsed="false" customWidth="true" hidden="false" outlineLevel="0" max="8972" min="8961" style="107" width="6.88"/>
    <col collapsed="false" customWidth="true" hidden="false" outlineLevel="0" max="8973" min="8973" style="107" width="7.66"/>
    <col collapsed="false" customWidth="true" hidden="false" outlineLevel="0" max="8974" min="8974" style="107" width="7.88"/>
    <col collapsed="false" customWidth="true" hidden="false" outlineLevel="0" max="8975" min="8975" style="107" width="6.88"/>
    <col collapsed="false" customWidth="true" hidden="false" outlineLevel="0" max="8976" min="8976" style="107" width="6.55"/>
    <col collapsed="false" customWidth="true" hidden="false" outlineLevel="0" max="8977" min="8977" style="107" width="6.77"/>
    <col collapsed="false" customWidth="false" hidden="false" outlineLevel="0" max="9215" min="8978" style="107" width="7.78"/>
    <col collapsed="false" customWidth="true" hidden="false" outlineLevel="0" max="9216" min="9216" style="107" width="13.11"/>
    <col collapsed="false" customWidth="true" hidden="false" outlineLevel="0" max="9228" min="9217" style="107" width="6.88"/>
    <col collapsed="false" customWidth="true" hidden="false" outlineLevel="0" max="9229" min="9229" style="107" width="7.66"/>
    <col collapsed="false" customWidth="true" hidden="false" outlineLevel="0" max="9230" min="9230" style="107" width="7.88"/>
    <col collapsed="false" customWidth="true" hidden="false" outlineLevel="0" max="9231" min="9231" style="107" width="6.88"/>
    <col collapsed="false" customWidth="true" hidden="false" outlineLevel="0" max="9232" min="9232" style="107" width="6.55"/>
    <col collapsed="false" customWidth="true" hidden="false" outlineLevel="0" max="9233" min="9233" style="107" width="6.77"/>
    <col collapsed="false" customWidth="false" hidden="false" outlineLevel="0" max="9471" min="9234" style="107" width="7.78"/>
    <col collapsed="false" customWidth="true" hidden="false" outlineLevel="0" max="9472" min="9472" style="107" width="13.11"/>
    <col collapsed="false" customWidth="true" hidden="false" outlineLevel="0" max="9484" min="9473" style="107" width="6.88"/>
    <col collapsed="false" customWidth="true" hidden="false" outlineLevel="0" max="9485" min="9485" style="107" width="7.66"/>
    <col collapsed="false" customWidth="true" hidden="false" outlineLevel="0" max="9486" min="9486" style="107" width="7.88"/>
    <col collapsed="false" customWidth="true" hidden="false" outlineLevel="0" max="9487" min="9487" style="107" width="6.88"/>
    <col collapsed="false" customWidth="true" hidden="false" outlineLevel="0" max="9488" min="9488" style="107" width="6.55"/>
    <col collapsed="false" customWidth="true" hidden="false" outlineLevel="0" max="9489" min="9489" style="107" width="6.77"/>
    <col collapsed="false" customWidth="false" hidden="false" outlineLevel="0" max="9727" min="9490" style="107" width="7.78"/>
    <col collapsed="false" customWidth="true" hidden="false" outlineLevel="0" max="9728" min="9728" style="107" width="13.11"/>
    <col collapsed="false" customWidth="true" hidden="false" outlineLevel="0" max="9740" min="9729" style="107" width="6.88"/>
    <col collapsed="false" customWidth="true" hidden="false" outlineLevel="0" max="9741" min="9741" style="107" width="7.66"/>
    <col collapsed="false" customWidth="true" hidden="false" outlineLevel="0" max="9742" min="9742" style="107" width="7.88"/>
    <col collapsed="false" customWidth="true" hidden="false" outlineLevel="0" max="9743" min="9743" style="107" width="6.88"/>
    <col collapsed="false" customWidth="true" hidden="false" outlineLevel="0" max="9744" min="9744" style="107" width="6.55"/>
    <col collapsed="false" customWidth="true" hidden="false" outlineLevel="0" max="9745" min="9745" style="107" width="6.77"/>
    <col collapsed="false" customWidth="false" hidden="false" outlineLevel="0" max="9983" min="9746" style="107" width="7.78"/>
    <col collapsed="false" customWidth="true" hidden="false" outlineLevel="0" max="9984" min="9984" style="107" width="13.11"/>
    <col collapsed="false" customWidth="true" hidden="false" outlineLevel="0" max="9996" min="9985" style="107" width="6.88"/>
    <col collapsed="false" customWidth="true" hidden="false" outlineLevel="0" max="9997" min="9997" style="107" width="7.66"/>
    <col collapsed="false" customWidth="true" hidden="false" outlineLevel="0" max="9998" min="9998" style="107" width="7.88"/>
    <col collapsed="false" customWidth="true" hidden="false" outlineLevel="0" max="9999" min="9999" style="107" width="6.88"/>
    <col collapsed="false" customWidth="true" hidden="false" outlineLevel="0" max="10000" min="10000" style="107" width="6.55"/>
    <col collapsed="false" customWidth="true" hidden="false" outlineLevel="0" max="10001" min="10001" style="107" width="6.77"/>
    <col collapsed="false" customWidth="false" hidden="false" outlineLevel="0" max="10239" min="10002" style="107" width="7.78"/>
    <col collapsed="false" customWidth="true" hidden="false" outlineLevel="0" max="10240" min="10240" style="107" width="13.11"/>
    <col collapsed="false" customWidth="true" hidden="false" outlineLevel="0" max="10252" min="10241" style="107" width="6.88"/>
    <col collapsed="false" customWidth="true" hidden="false" outlineLevel="0" max="10253" min="10253" style="107" width="7.66"/>
    <col collapsed="false" customWidth="true" hidden="false" outlineLevel="0" max="10254" min="10254" style="107" width="7.88"/>
    <col collapsed="false" customWidth="true" hidden="false" outlineLevel="0" max="10255" min="10255" style="107" width="6.88"/>
    <col collapsed="false" customWidth="true" hidden="false" outlineLevel="0" max="10256" min="10256" style="107" width="6.55"/>
    <col collapsed="false" customWidth="true" hidden="false" outlineLevel="0" max="10257" min="10257" style="107" width="6.77"/>
    <col collapsed="false" customWidth="false" hidden="false" outlineLevel="0" max="10495" min="10258" style="107" width="7.78"/>
    <col collapsed="false" customWidth="true" hidden="false" outlineLevel="0" max="10496" min="10496" style="107" width="13.11"/>
    <col collapsed="false" customWidth="true" hidden="false" outlineLevel="0" max="10508" min="10497" style="107" width="6.88"/>
    <col collapsed="false" customWidth="true" hidden="false" outlineLevel="0" max="10509" min="10509" style="107" width="7.66"/>
    <col collapsed="false" customWidth="true" hidden="false" outlineLevel="0" max="10510" min="10510" style="107" width="7.88"/>
    <col collapsed="false" customWidth="true" hidden="false" outlineLevel="0" max="10511" min="10511" style="107" width="6.88"/>
    <col collapsed="false" customWidth="true" hidden="false" outlineLevel="0" max="10512" min="10512" style="107" width="6.55"/>
    <col collapsed="false" customWidth="true" hidden="false" outlineLevel="0" max="10513" min="10513" style="107" width="6.77"/>
    <col collapsed="false" customWidth="false" hidden="false" outlineLevel="0" max="10751" min="10514" style="107" width="7.78"/>
    <col collapsed="false" customWidth="true" hidden="false" outlineLevel="0" max="10752" min="10752" style="107" width="13.11"/>
    <col collapsed="false" customWidth="true" hidden="false" outlineLevel="0" max="10764" min="10753" style="107" width="6.88"/>
    <col collapsed="false" customWidth="true" hidden="false" outlineLevel="0" max="10765" min="10765" style="107" width="7.66"/>
    <col collapsed="false" customWidth="true" hidden="false" outlineLevel="0" max="10766" min="10766" style="107" width="7.88"/>
    <col collapsed="false" customWidth="true" hidden="false" outlineLevel="0" max="10767" min="10767" style="107" width="6.88"/>
    <col collapsed="false" customWidth="true" hidden="false" outlineLevel="0" max="10768" min="10768" style="107" width="6.55"/>
    <col collapsed="false" customWidth="true" hidden="false" outlineLevel="0" max="10769" min="10769" style="107" width="6.77"/>
    <col collapsed="false" customWidth="false" hidden="false" outlineLevel="0" max="11007" min="10770" style="107" width="7.78"/>
    <col collapsed="false" customWidth="true" hidden="false" outlineLevel="0" max="11008" min="11008" style="107" width="13.11"/>
    <col collapsed="false" customWidth="true" hidden="false" outlineLevel="0" max="11020" min="11009" style="107" width="6.88"/>
    <col collapsed="false" customWidth="true" hidden="false" outlineLevel="0" max="11021" min="11021" style="107" width="7.66"/>
    <col collapsed="false" customWidth="true" hidden="false" outlineLevel="0" max="11022" min="11022" style="107" width="7.88"/>
    <col collapsed="false" customWidth="true" hidden="false" outlineLevel="0" max="11023" min="11023" style="107" width="6.88"/>
    <col collapsed="false" customWidth="true" hidden="false" outlineLevel="0" max="11024" min="11024" style="107" width="6.55"/>
    <col collapsed="false" customWidth="true" hidden="false" outlineLevel="0" max="11025" min="11025" style="107" width="6.77"/>
    <col collapsed="false" customWidth="false" hidden="false" outlineLevel="0" max="11263" min="11026" style="107" width="7.78"/>
    <col collapsed="false" customWidth="true" hidden="false" outlineLevel="0" max="11264" min="11264" style="107" width="13.11"/>
    <col collapsed="false" customWidth="true" hidden="false" outlineLevel="0" max="11276" min="11265" style="107" width="6.88"/>
    <col collapsed="false" customWidth="true" hidden="false" outlineLevel="0" max="11277" min="11277" style="107" width="7.66"/>
    <col collapsed="false" customWidth="true" hidden="false" outlineLevel="0" max="11278" min="11278" style="107" width="7.88"/>
    <col collapsed="false" customWidth="true" hidden="false" outlineLevel="0" max="11279" min="11279" style="107" width="6.88"/>
    <col collapsed="false" customWidth="true" hidden="false" outlineLevel="0" max="11280" min="11280" style="107" width="6.55"/>
    <col collapsed="false" customWidth="true" hidden="false" outlineLevel="0" max="11281" min="11281" style="107" width="6.77"/>
    <col collapsed="false" customWidth="false" hidden="false" outlineLevel="0" max="11519" min="11282" style="107" width="7.78"/>
    <col collapsed="false" customWidth="true" hidden="false" outlineLevel="0" max="11520" min="11520" style="107" width="13.11"/>
    <col collapsed="false" customWidth="true" hidden="false" outlineLevel="0" max="11532" min="11521" style="107" width="6.88"/>
    <col collapsed="false" customWidth="true" hidden="false" outlineLevel="0" max="11533" min="11533" style="107" width="7.66"/>
    <col collapsed="false" customWidth="true" hidden="false" outlineLevel="0" max="11534" min="11534" style="107" width="7.88"/>
    <col collapsed="false" customWidth="true" hidden="false" outlineLevel="0" max="11535" min="11535" style="107" width="6.88"/>
    <col collapsed="false" customWidth="true" hidden="false" outlineLevel="0" max="11536" min="11536" style="107" width="6.55"/>
    <col collapsed="false" customWidth="true" hidden="false" outlineLevel="0" max="11537" min="11537" style="107" width="6.77"/>
    <col collapsed="false" customWidth="false" hidden="false" outlineLevel="0" max="11775" min="11538" style="107" width="7.78"/>
    <col collapsed="false" customWidth="true" hidden="false" outlineLevel="0" max="11776" min="11776" style="107" width="13.11"/>
    <col collapsed="false" customWidth="true" hidden="false" outlineLevel="0" max="11788" min="11777" style="107" width="6.88"/>
    <col collapsed="false" customWidth="true" hidden="false" outlineLevel="0" max="11789" min="11789" style="107" width="7.66"/>
    <col collapsed="false" customWidth="true" hidden="false" outlineLevel="0" max="11790" min="11790" style="107" width="7.88"/>
    <col collapsed="false" customWidth="true" hidden="false" outlineLevel="0" max="11791" min="11791" style="107" width="6.88"/>
    <col collapsed="false" customWidth="true" hidden="false" outlineLevel="0" max="11792" min="11792" style="107" width="6.55"/>
    <col collapsed="false" customWidth="true" hidden="false" outlineLevel="0" max="11793" min="11793" style="107" width="6.77"/>
    <col collapsed="false" customWidth="false" hidden="false" outlineLevel="0" max="12031" min="11794" style="107" width="7.78"/>
    <col collapsed="false" customWidth="true" hidden="false" outlineLevel="0" max="12032" min="12032" style="107" width="13.11"/>
    <col collapsed="false" customWidth="true" hidden="false" outlineLevel="0" max="12044" min="12033" style="107" width="6.88"/>
    <col collapsed="false" customWidth="true" hidden="false" outlineLevel="0" max="12045" min="12045" style="107" width="7.66"/>
    <col collapsed="false" customWidth="true" hidden="false" outlineLevel="0" max="12046" min="12046" style="107" width="7.88"/>
    <col collapsed="false" customWidth="true" hidden="false" outlineLevel="0" max="12047" min="12047" style="107" width="6.88"/>
    <col collapsed="false" customWidth="true" hidden="false" outlineLevel="0" max="12048" min="12048" style="107" width="6.55"/>
    <col collapsed="false" customWidth="true" hidden="false" outlineLevel="0" max="12049" min="12049" style="107" width="6.77"/>
    <col collapsed="false" customWidth="false" hidden="false" outlineLevel="0" max="12287" min="12050" style="107" width="7.78"/>
    <col collapsed="false" customWidth="true" hidden="false" outlineLevel="0" max="12288" min="12288" style="107" width="13.11"/>
    <col collapsed="false" customWidth="true" hidden="false" outlineLevel="0" max="12300" min="12289" style="107" width="6.88"/>
    <col collapsed="false" customWidth="true" hidden="false" outlineLevel="0" max="12301" min="12301" style="107" width="7.66"/>
    <col collapsed="false" customWidth="true" hidden="false" outlineLevel="0" max="12302" min="12302" style="107" width="7.88"/>
    <col collapsed="false" customWidth="true" hidden="false" outlineLevel="0" max="12303" min="12303" style="107" width="6.88"/>
    <col collapsed="false" customWidth="true" hidden="false" outlineLevel="0" max="12304" min="12304" style="107" width="6.55"/>
    <col collapsed="false" customWidth="true" hidden="false" outlineLevel="0" max="12305" min="12305" style="107" width="6.77"/>
    <col collapsed="false" customWidth="false" hidden="false" outlineLevel="0" max="12543" min="12306" style="107" width="7.78"/>
    <col collapsed="false" customWidth="true" hidden="false" outlineLevel="0" max="12544" min="12544" style="107" width="13.11"/>
    <col collapsed="false" customWidth="true" hidden="false" outlineLevel="0" max="12556" min="12545" style="107" width="6.88"/>
    <col collapsed="false" customWidth="true" hidden="false" outlineLevel="0" max="12557" min="12557" style="107" width="7.66"/>
    <col collapsed="false" customWidth="true" hidden="false" outlineLevel="0" max="12558" min="12558" style="107" width="7.88"/>
    <col collapsed="false" customWidth="true" hidden="false" outlineLevel="0" max="12559" min="12559" style="107" width="6.88"/>
    <col collapsed="false" customWidth="true" hidden="false" outlineLevel="0" max="12560" min="12560" style="107" width="6.55"/>
    <col collapsed="false" customWidth="true" hidden="false" outlineLevel="0" max="12561" min="12561" style="107" width="6.77"/>
    <col collapsed="false" customWidth="false" hidden="false" outlineLevel="0" max="12799" min="12562" style="107" width="7.78"/>
    <col collapsed="false" customWidth="true" hidden="false" outlineLevel="0" max="12800" min="12800" style="107" width="13.11"/>
    <col collapsed="false" customWidth="true" hidden="false" outlineLevel="0" max="12812" min="12801" style="107" width="6.88"/>
    <col collapsed="false" customWidth="true" hidden="false" outlineLevel="0" max="12813" min="12813" style="107" width="7.66"/>
    <col collapsed="false" customWidth="true" hidden="false" outlineLevel="0" max="12814" min="12814" style="107" width="7.88"/>
    <col collapsed="false" customWidth="true" hidden="false" outlineLevel="0" max="12815" min="12815" style="107" width="6.88"/>
    <col collapsed="false" customWidth="true" hidden="false" outlineLevel="0" max="12816" min="12816" style="107" width="6.55"/>
    <col collapsed="false" customWidth="true" hidden="false" outlineLevel="0" max="12817" min="12817" style="107" width="6.77"/>
    <col collapsed="false" customWidth="false" hidden="false" outlineLevel="0" max="13055" min="12818" style="107" width="7.78"/>
    <col collapsed="false" customWidth="true" hidden="false" outlineLevel="0" max="13056" min="13056" style="107" width="13.11"/>
    <col collapsed="false" customWidth="true" hidden="false" outlineLevel="0" max="13068" min="13057" style="107" width="6.88"/>
    <col collapsed="false" customWidth="true" hidden="false" outlineLevel="0" max="13069" min="13069" style="107" width="7.66"/>
    <col collapsed="false" customWidth="true" hidden="false" outlineLevel="0" max="13070" min="13070" style="107" width="7.88"/>
    <col collapsed="false" customWidth="true" hidden="false" outlineLevel="0" max="13071" min="13071" style="107" width="6.88"/>
    <col collapsed="false" customWidth="true" hidden="false" outlineLevel="0" max="13072" min="13072" style="107" width="6.55"/>
    <col collapsed="false" customWidth="true" hidden="false" outlineLevel="0" max="13073" min="13073" style="107" width="6.77"/>
    <col collapsed="false" customWidth="false" hidden="false" outlineLevel="0" max="13311" min="13074" style="107" width="7.78"/>
    <col collapsed="false" customWidth="true" hidden="false" outlineLevel="0" max="13312" min="13312" style="107" width="13.11"/>
    <col collapsed="false" customWidth="true" hidden="false" outlineLevel="0" max="13324" min="13313" style="107" width="6.88"/>
    <col collapsed="false" customWidth="true" hidden="false" outlineLevel="0" max="13325" min="13325" style="107" width="7.66"/>
    <col collapsed="false" customWidth="true" hidden="false" outlineLevel="0" max="13326" min="13326" style="107" width="7.88"/>
    <col collapsed="false" customWidth="true" hidden="false" outlineLevel="0" max="13327" min="13327" style="107" width="6.88"/>
    <col collapsed="false" customWidth="true" hidden="false" outlineLevel="0" max="13328" min="13328" style="107" width="6.55"/>
    <col collapsed="false" customWidth="true" hidden="false" outlineLevel="0" max="13329" min="13329" style="107" width="6.77"/>
    <col collapsed="false" customWidth="false" hidden="false" outlineLevel="0" max="13567" min="13330" style="107" width="7.78"/>
    <col collapsed="false" customWidth="true" hidden="false" outlineLevel="0" max="13568" min="13568" style="107" width="13.11"/>
    <col collapsed="false" customWidth="true" hidden="false" outlineLevel="0" max="13580" min="13569" style="107" width="6.88"/>
    <col collapsed="false" customWidth="true" hidden="false" outlineLevel="0" max="13581" min="13581" style="107" width="7.66"/>
    <col collapsed="false" customWidth="true" hidden="false" outlineLevel="0" max="13582" min="13582" style="107" width="7.88"/>
    <col collapsed="false" customWidth="true" hidden="false" outlineLevel="0" max="13583" min="13583" style="107" width="6.88"/>
    <col collapsed="false" customWidth="true" hidden="false" outlineLevel="0" max="13584" min="13584" style="107" width="6.55"/>
    <col collapsed="false" customWidth="true" hidden="false" outlineLevel="0" max="13585" min="13585" style="107" width="6.77"/>
    <col collapsed="false" customWidth="false" hidden="false" outlineLevel="0" max="13823" min="13586" style="107" width="7.78"/>
    <col collapsed="false" customWidth="true" hidden="false" outlineLevel="0" max="13824" min="13824" style="107" width="13.11"/>
    <col collapsed="false" customWidth="true" hidden="false" outlineLevel="0" max="13836" min="13825" style="107" width="6.88"/>
    <col collapsed="false" customWidth="true" hidden="false" outlineLevel="0" max="13837" min="13837" style="107" width="7.66"/>
    <col collapsed="false" customWidth="true" hidden="false" outlineLevel="0" max="13838" min="13838" style="107" width="7.88"/>
    <col collapsed="false" customWidth="true" hidden="false" outlineLevel="0" max="13839" min="13839" style="107" width="6.88"/>
    <col collapsed="false" customWidth="true" hidden="false" outlineLevel="0" max="13840" min="13840" style="107" width="6.55"/>
    <col collapsed="false" customWidth="true" hidden="false" outlineLevel="0" max="13841" min="13841" style="107" width="6.77"/>
    <col collapsed="false" customWidth="false" hidden="false" outlineLevel="0" max="14079" min="13842" style="107" width="7.78"/>
    <col collapsed="false" customWidth="true" hidden="false" outlineLevel="0" max="14080" min="14080" style="107" width="13.11"/>
    <col collapsed="false" customWidth="true" hidden="false" outlineLevel="0" max="14092" min="14081" style="107" width="6.88"/>
    <col collapsed="false" customWidth="true" hidden="false" outlineLevel="0" max="14093" min="14093" style="107" width="7.66"/>
    <col collapsed="false" customWidth="true" hidden="false" outlineLevel="0" max="14094" min="14094" style="107" width="7.88"/>
    <col collapsed="false" customWidth="true" hidden="false" outlineLevel="0" max="14095" min="14095" style="107" width="6.88"/>
    <col collapsed="false" customWidth="true" hidden="false" outlineLevel="0" max="14096" min="14096" style="107" width="6.55"/>
    <col collapsed="false" customWidth="true" hidden="false" outlineLevel="0" max="14097" min="14097" style="107" width="6.77"/>
    <col collapsed="false" customWidth="false" hidden="false" outlineLevel="0" max="14335" min="14098" style="107" width="7.78"/>
    <col collapsed="false" customWidth="true" hidden="false" outlineLevel="0" max="14336" min="14336" style="107" width="13.11"/>
    <col collapsed="false" customWidth="true" hidden="false" outlineLevel="0" max="14348" min="14337" style="107" width="6.88"/>
    <col collapsed="false" customWidth="true" hidden="false" outlineLevel="0" max="14349" min="14349" style="107" width="7.66"/>
    <col collapsed="false" customWidth="true" hidden="false" outlineLevel="0" max="14350" min="14350" style="107" width="7.88"/>
    <col collapsed="false" customWidth="true" hidden="false" outlineLevel="0" max="14351" min="14351" style="107" width="6.88"/>
    <col collapsed="false" customWidth="true" hidden="false" outlineLevel="0" max="14352" min="14352" style="107" width="6.55"/>
    <col collapsed="false" customWidth="true" hidden="false" outlineLevel="0" max="14353" min="14353" style="107" width="6.77"/>
    <col collapsed="false" customWidth="false" hidden="false" outlineLevel="0" max="14591" min="14354" style="107" width="7.78"/>
    <col collapsed="false" customWidth="true" hidden="false" outlineLevel="0" max="14592" min="14592" style="107" width="13.11"/>
    <col collapsed="false" customWidth="true" hidden="false" outlineLevel="0" max="14604" min="14593" style="107" width="6.88"/>
    <col collapsed="false" customWidth="true" hidden="false" outlineLevel="0" max="14605" min="14605" style="107" width="7.66"/>
    <col collapsed="false" customWidth="true" hidden="false" outlineLevel="0" max="14606" min="14606" style="107" width="7.88"/>
    <col collapsed="false" customWidth="true" hidden="false" outlineLevel="0" max="14607" min="14607" style="107" width="6.88"/>
    <col collapsed="false" customWidth="true" hidden="false" outlineLevel="0" max="14608" min="14608" style="107" width="6.55"/>
    <col collapsed="false" customWidth="true" hidden="false" outlineLevel="0" max="14609" min="14609" style="107" width="6.77"/>
    <col collapsed="false" customWidth="false" hidden="false" outlineLevel="0" max="14847" min="14610" style="107" width="7.78"/>
    <col collapsed="false" customWidth="true" hidden="false" outlineLevel="0" max="14848" min="14848" style="107" width="13.11"/>
    <col collapsed="false" customWidth="true" hidden="false" outlineLevel="0" max="14860" min="14849" style="107" width="6.88"/>
    <col collapsed="false" customWidth="true" hidden="false" outlineLevel="0" max="14861" min="14861" style="107" width="7.66"/>
    <col collapsed="false" customWidth="true" hidden="false" outlineLevel="0" max="14862" min="14862" style="107" width="7.88"/>
    <col collapsed="false" customWidth="true" hidden="false" outlineLevel="0" max="14863" min="14863" style="107" width="6.88"/>
    <col collapsed="false" customWidth="true" hidden="false" outlineLevel="0" max="14864" min="14864" style="107" width="6.55"/>
    <col collapsed="false" customWidth="true" hidden="false" outlineLevel="0" max="14865" min="14865" style="107" width="6.77"/>
    <col collapsed="false" customWidth="false" hidden="false" outlineLevel="0" max="15103" min="14866" style="107" width="7.78"/>
    <col collapsed="false" customWidth="true" hidden="false" outlineLevel="0" max="15104" min="15104" style="107" width="13.11"/>
    <col collapsed="false" customWidth="true" hidden="false" outlineLevel="0" max="15116" min="15105" style="107" width="6.88"/>
    <col collapsed="false" customWidth="true" hidden="false" outlineLevel="0" max="15117" min="15117" style="107" width="7.66"/>
    <col collapsed="false" customWidth="true" hidden="false" outlineLevel="0" max="15118" min="15118" style="107" width="7.88"/>
    <col collapsed="false" customWidth="true" hidden="false" outlineLevel="0" max="15119" min="15119" style="107" width="6.88"/>
    <col collapsed="false" customWidth="true" hidden="false" outlineLevel="0" max="15120" min="15120" style="107" width="6.55"/>
    <col collapsed="false" customWidth="true" hidden="false" outlineLevel="0" max="15121" min="15121" style="107" width="6.77"/>
    <col collapsed="false" customWidth="false" hidden="false" outlineLevel="0" max="15359" min="15122" style="107" width="7.78"/>
    <col collapsed="false" customWidth="true" hidden="false" outlineLevel="0" max="15360" min="15360" style="107" width="13.11"/>
    <col collapsed="false" customWidth="true" hidden="false" outlineLevel="0" max="15372" min="15361" style="107" width="6.88"/>
    <col collapsed="false" customWidth="true" hidden="false" outlineLevel="0" max="15373" min="15373" style="107" width="7.66"/>
    <col collapsed="false" customWidth="true" hidden="false" outlineLevel="0" max="15374" min="15374" style="107" width="7.88"/>
    <col collapsed="false" customWidth="true" hidden="false" outlineLevel="0" max="15375" min="15375" style="107" width="6.88"/>
    <col collapsed="false" customWidth="true" hidden="false" outlineLevel="0" max="15376" min="15376" style="107" width="6.55"/>
    <col collapsed="false" customWidth="true" hidden="false" outlineLevel="0" max="15377" min="15377" style="107" width="6.77"/>
    <col collapsed="false" customWidth="false" hidden="false" outlineLevel="0" max="15615" min="15378" style="107" width="7.78"/>
    <col collapsed="false" customWidth="true" hidden="false" outlineLevel="0" max="15616" min="15616" style="107" width="13.11"/>
    <col collapsed="false" customWidth="true" hidden="false" outlineLevel="0" max="15628" min="15617" style="107" width="6.88"/>
    <col collapsed="false" customWidth="true" hidden="false" outlineLevel="0" max="15629" min="15629" style="107" width="7.66"/>
    <col collapsed="false" customWidth="true" hidden="false" outlineLevel="0" max="15630" min="15630" style="107" width="7.88"/>
    <col collapsed="false" customWidth="true" hidden="false" outlineLevel="0" max="15631" min="15631" style="107" width="6.88"/>
    <col collapsed="false" customWidth="true" hidden="false" outlineLevel="0" max="15632" min="15632" style="107" width="6.55"/>
    <col collapsed="false" customWidth="true" hidden="false" outlineLevel="0" max="15633" min="15633" style="107" width="6.77"/>
    <col collapsed="false" customWidth="false" hidden="false" outlineLevel="0" max="15871" min="15634" style="107" width="7.78"/>
    <col collapsed="false" customWidth="true" hidden="false" outlineLevel="0" max="15872" min="15872" style="107" width="13.11"/>
    <col collapsed="false" customWidth="true" hidden="false" outlineLevel="0" max="15884" min="15873" style="107" width="6.88"/>
    <col collapsed="false" customWidth="true" hidden="false" outlineLevel="0" max="15885" min="15885" style="107" width="7.66"/>
    <col collapsed="false" customWidth="true" hidden="false" outlineLevel="0" max="15886" min="15886" style="107" width="7.88"/>
    <col collapsed="false" customWidth="true" hidden="false" outlineLevel="0" max="15887" min="15887" style="107" width="6.88"/>
    <col collapsed="false" customWidth="true" hidden="false" outlineLevel="0" max="15888" min="15888" style="107" width="6.55"/>
    <col collapsed="false" customWidth="true" hidden="false" outlineLevel="0" max="15889" min="15889" style="107" width="6.77"/>
    <col collapsed="false" customWidth="false" hidden="false" outlineLevel="0" max="16127" min="15890" style="107" width="7.78"/>
    <col collapsed="false" customWidth="true" hidden="false" outlineLevel="0" max="16128" min="16128" style="107" width="13.11"/>
    <col collapsed="false" customWidth="true" hidden="false" outlineLevel="0" max="16140" min="16129" style="107" width="6.88"/>
    <col collapsed="false" customWidth="true" hidden="false" outlineLevel="0" max="16141" min="16141" style="107" width="7.66"/>
    <col collapsed="false" customWidth="true" hidden="false" outlineLevel="0" max="16142" min="16142" style="107" width="7.88"/>
    <col collapsed="false" customWidth="true" hidden="false" outlineLevel="0" max="16143" min="16143" style="107" width="6.88"/>
    <col collapsed="false" customWidth="true" hidden="false" outlineLevel="0" max="16144" min="16144" style="107" width="6.55"/>
    <col collapsed="false" customWidth="true" hidden="false" outlineLevel="0" max="16145" min="16145" style="107" width="6.77"/>
    <col collapsed="false" customWidth="false" hidden="false" outlineLevel="0" max="16384" min="16146" style="107" width="7.78"/>
  </cols>
  <sheetData>
    <row r="1" s="109" customFormat="true" ht="23.25" hidden="false" customHeight="true" outlineLevel="0" collapsed="false">
      <c r="A1" s="108" t="s">
        <v>72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</row>
    <row r="2" customFormat="false" ht="12.75" hidden="false" customHeight="false" outlineLevel="0" collapsed="false">
      <c r="D2" s="110"/>
      <c r="H2" s="110"/>
      <c r="I2" s="110"/>
      <c r="J2" s="110"/>
      <c r="K2" s="110"/>
      <c r="L2" s="110"/>
      <c r="M2" s="110"/>
      <c r="N2" s="111"/>
      <c r="O2" s="112" t="s">
        <v>73</v>
      </c>
    </row>
    <row r="3" customFormat="false" ht="19.5" hidden="false" customHeight="true" outlineLevel="0" collapsed="false">
      <c r="A3" s="113"/>
      <c r="B3" s="114" t="s">
        <v>5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</row>
    <row r="4" s="117" customFormat="true" ht="19.5" hidden="false" customHeight="true" outlineLevel="0" collapsed="false">
      <c r="A4" s="41" t="s">
        <v>74</v>
      </c>
      <c r="B4" s="115" t="s">
        <v>14</v>
      </c>
      <c r="C4" s="115" t="s">
        <v>15</v>
      </c>
      <c r="D4" s="115" t="s">
        <v>16</v>
      </c>
      <c r="E4" s="115" t="s">
        <v>17</v>
      </c>
      <c r="F4" s="115" t="s">
        <v>18</v>
      </c>
      <c r="G4" s="115" t="s">
        <v>19</v>
      </c>
      <c r="H4" s="115" t="s">
        <v>20</v>
      </c>
      <c r="I4" s="115" t="s">
        <v>21</v>
      </c>
      <c r="J4" s="115" t="s">
        <v>22</v>
      </c>
      <c r="K4" s="115" t="s">
        <v>23</v>
      </c>
      <c r="L4" s="115" t="s">
        <v>35</v>
      </c>
      <c r="M4" s="115" t="s">
        <v>36</v>
      </c>
      <c r="N4" s="115" t="s">
        <v>37</v>
      </c>
      <c r="O4" s="116" t="s">
        <v>38</v>
      </c>
    </row>
    <row r="5" customFormat="false" ht="19.5" hidden="false" customHeight="true" outlineLevel="0" collapsed="false">
      <c r="A5" s="43" t="s">
        <v>75</v>
      </c>
      <c r="B5" s="19" t="n">
        <v>129.1</v>
      </c>
      <c r="C5" s="19" t="n">
        <v>129.1</v>
      </c>
      <c r="D5" s="19" t="n">
        <v>146</v>
      </c>
      <c r="E5" s="19" t="n">
        <v>146</v>
      </c>
      <c r="F5" s="19" t="n">
        <v>166.09</v>
      </c>
      <c r="G5" s="19" t="n">
        <v>139.9</v>
      </c>
      <c r="H5" s="19" t="n">
        <v>156.7</v>
      </c>
      <c r="I5" s="19" t="n">
        <v>163.23</v>
      </c>
      <c r="J5" s="19" t="n">
        <v>161.32</v>
      </c>
      <c r="K5" s="19" t="n">
        <v>154.54</v>
      </c>
      <c r="L5" s="40" t="n">
        <v>191.14</v>
      </c>
      <c r="M5" s="40" t="n">
        <v>204.69</v>
      </c>
      <c r="N5" s="40" t="n">
        <v>201.78</v>
      </c>
      <c r="O5" s="118" t="n">
        <v>214.85</v>
      </c>
    </row>
    <row r="6" customFormat="false" ht="19.5" hidden="false" customHeight="true" outlineLevel="0" collapsed="false">
      <c r="A6" s="43" t="s">
        <v>76</v>
      </c>
      <c r="B6" s="19" t="n">
        <v>318</v>
      </c>
      <c r="C6" s="19" t="n">
        <v>336</v>
      </c>
      <c r="D6" s="19" t="n">
        <v>343</v>
      </c>
      <c r="E6" s="19" t="n">
        <v>364</v>
      </c>
      <c r="F6" s="19" t="n">
        <v>390.28</v>
      </c>
      <c r="G6" s="19" t="n">
        <v>397.5</v>
      </c>
      <c r="H6" s="19" t="n">
        <v>404.4</v>
      </c>
      <c r="I6" s="19" t="n">
        <v>463.31</v>
      </c>
      <c r="J6" s="19" t="n">
        <v>502.36</v>
      </c>
      <c r="K6" s="19" t="n">
        <v>502</v>
      </c>
      <c r="L6" s="40" t="n">
        <v>519.5</v>
      </c>
      <c r="M6" s="40" t="n">
        <v>535</v>
      </c>
      <c r="N6" s="40" t="n">
        <v>565</v>
      </c>
      <c r="O6" s="118" t="n">
        <v>367.49</v>
      </c>
    </row>
    <row r="7" customFormat="false" ht="19.5" hidden="false" customHeight="true" outlineLevel="0" collapsed="false">
      <c r="A7" s="43" t="s">
        <v>77</v>
      </c>
      <c r="B7" s="19" t="n">
        <v>672</v>
      </c>
      <c r="C7" s="19" t="n">
        <v>700</v>
      </c>
      <c r="D7" s="19" t="n">
        <v>742</v>
      </c>
      <c r="E7" s="19" t="n">
        <v>774</v>
      </c>
      <c r="F7" s="19" t="n">
        <v>875.34</v>
      </c>
      <c r="G7" s="19" t="n">
        <v>874.52</v>
      </c>
      <c r="H7" s="19" t="n">
        <v>922</v>
      </c>
      <c r="I7" s="19" t="n">
        <v>993.56</v>
      </c>
      <c r="J7" s="19" t="n">
        <v>970.2</v>
      </c>
      <c r="K7" s="19" t="n">
        <v>1128</v>
      </c>
      <c r="L7" s="40" t="n">
        <v>1197</v>
      </c>
      <c r="M7" s="40" t="n">
        <v>1197</v>
      </c>
      <c r="N7" s="119" t="n">
        <v>1256.85</v>
      </c>
      <c r="O7" s="118" t="n">
        <v>1327.29</v>
      </c>
    </row>
    <row r="8" s="124" customFormat="true" ht="19.5" hidden="false" customHeight="true" outlineLevel="0" collapsed="false">
      <c r="A8" s="120" t="s">
        <v>33</v>
      </c>
      <c r="B8" s="121" t="n">
        <f aca="false">SUM(B5:B7)</f>
        <v>1119.1</v>
      </c>
      <c r="C8" s="121" t="n">
        <f aca="false">SUM(C5:C7)</f>
        <v>1165.1</v>
      </c>
      <c r="D8" s="121" t="n">
        <f aca="false">SUM(D5:D7)</f>
        <v>1231</v>
      </c>
      <c r="E8" s="122" t="n">
        <f aca="false">SUM(E5:E7)</f>
        <v>1284</v>
      </c>
      <c r="F8" s="121" t="n">
        <f aca="false">SUM(F5:F7)</f>
        <v>1431.71</v>
      </c>
      <c r="G8" s="121" t="n">
        <f aca="false">SUM(G5:G7)</f>
        <v>1411.92</v>
      </c>
      <c r="H8" s="121" t="n">
        <f aca="false">SUM(H5:H7)</f>
        <v>1483.1</v>
      </c>
      <c r="I8" s="121" t="n">
        <f aca="false">SUM(I5:I7)</f>
        <v>1620.1</v>
      </c>
      <c r="J8" s="121" t="n">
        <f aca="false">SUM(J5:J7)</f>
        <v>1633.88</v>
      </c>
      <c r="K8" s="121" t="n">
        <f aca="false">SUM(K5:K7)</f>
        <v>1784.54</v>
      </c>
      <c r="L8" s="122" t="n">
        <f aca="false">SUM(L5:L7)</f>
        <v>1907.64</v>
      </c>
      <c r="M8" s="121" t="n">
        <f aca="false">SUM(M5:M7)</f>
        <v>1936.69</v>
      </c>
      <c r="N8" s="121" t="n">
        <f aca="false">SUM(N5:N7)</f>
        <v>2023.63</v>
      </c>
      <c r="O8" s="123" t="n">
        <f aca="false">SUM(O5:O7)</f>
        <v>1909.63</v>
      </c>
    </row>
    <row r="9" customFormat="false" ht="19.5" hidden="false" customHeight="true" outlineLevel="0" collapsed="false">
      <c r="B9" s="125"/>
      <c r="C9" s="125"/>
      <c r="D9" s="125"/>
      <c r="E9" s="125"/>
      <c r="F9" s="125"/>
      <c r="O9" s="111" t="s">
        <v>78</v>
      </c>
    </row>
    <row r="10" customFormat="false" ht="19.5" hidden="false" customHeight="true" outlineLevel="0" collapsed="false">
      <c r="A10" s="126"/>
    </row>
    <row r="11" customFormat="false" ht="19.5" hidden="false" customHeight="true" outlineLevel="0" collapsed="false">
      <c r="A11" s="110"/>
    </row>
    <row r="12" customFormat="false" ht="19.5" hidden="false" customHeight="true" outlineLevel="0" collapsed="false">
      <c r="A12" s="127" t="s">
        <v>74</v>
      </c>
      <c r="B12" s="128" t="s">
        <v>5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</row>
    <row r="13" customFormat="false" ht="19.5" hidden="false" customHeight="true" outlineLevel="0" collapsed="false">
      <c r="A13" s="127"/>
      <c r="B13" s="129" t="s">
        <v>39</v>
      </c>
      <c r="C13" s="115" t="s">
        <v>40</v>
      </c>
      <c r="D13" s="115" t="s">
        <v>41</v>
      </c>
      <c r="E13" s="115" t="s">
        <v>42</v>
      </c>
      <c r="F13" s="115" t="s">
        <v>43</v>
      </c>
      <c r="G13" s="115" t="s">
        <v>44</v>
      </c>
      <c r="H13" s="115" t="s">
        <v>45</v>
      </c>
      <c r="I13" s="115" t="s">
        <v>46</v>
      </c>
      <c r="J13" s="115" t="s">
        <v>47</v>
      </c>
      <c r="K13" s="115" t="s">
        <v>48</v>
      </c>
      <c r="L13" s="115" t="s">
        <v>49</v>
      </c>
      <c r="M13" s="115" t="s">
        <v>50</v>
      </c>
      <c r="N13" s="115" t="s">
        <v>51</v>
      </c>
      <c r="O13" s="115" t="s">
        <v>52</v>
      </c>
      <c r="P13" s="115" t="s">
        <v>53</v>
      </c>
      <c r="Q13" s="115" t="s">
        <v>54</v>
      </c>
      <c r="R13" s="115" t="s">
        <v>55</v>
      </c>
      <c r="S13" s="115" t="s">
        <v>56</v>
      </c>
    </row>
    <row r="14" customFormat="false" ht="19.5" hidden="false" customHeight="true" outlineLevel="0" collapsed="false">
      <c r="A14" s="130" t="s">
        <v>75</v>
      </c>
      <c r="B14" s="131" t="n">
        <v>223</v>
      </c>
      <c r="C14" s="85" t="n">
        <v>215.7</v>
      </c>
      <c r="D14" s="85" t="n">
        <v>228.84</v>
      </c>
      <c r="E14" s="85" t="n">
        <v>237.32</v>
      </c>
      <c r="F14" s="85" t="n">
        <v>243.24</v>
      </c>
      <c r="G14" s="85" t="n">
        <v>250.4</v>
      </c>
      <c r="H14" s="85" t="n">
        <v>256.9</v>
      </c>
      <c r="I14" s="85" t="n">
        <v>265.3</v>
      </c>
      <c r="J14" s="85" t="n">
        <v>271.3</v>
      </c>
      <c r="K14" s="85" t="n">
        <v>267.45</v>
      </c>
      <c r="L14" s="85" t="n">
        <v>274.37</v>
      </c>
      <c r="M14" s="85" t="n">
        <v>269.77</v>
      </c>
      <c r="N14" s="85" t="n">
        <v>255.38</v>
      </c>
      <c r="O14" s="85" t="n">
        <v>262.35</v>
      </c>
      <c r="P14" s="85" t="n">
        <v>318.36</v>
      </c>
      <c r="Q14" s="87" t="n">
        <v>327.15</v>
      </c>
      <c r="R14" s="87" t="n">
        <v>356.7</v>
      </c>
      <c r="S14" s="87" t="n">
        <v>2817.512</v>
      </c>
    </row>
    <row r="15" customFormat="false" ht="19.5" hidden="false" customHeight="true" outlineLevel="0" collapsed="false">
      <c r="A15" s="130" t="s">
        <v>76</v>
      </c>
      <c r="B15" s="131" t="n">
        <v>428.23</v>
      </c>
      <c r="C15" s="85" t="n">
        <v>425.6</v>
      </c>
      <c r="D15" s="85" t="n">
        <v>456</v>
      </c>
      <c r="E15" s="85" t="n">
        <v>447.33</v>
      </c>
      <c r="F15" s="85" t="n">
        <v>487.33</v>
      </c>
      <c r="G15" s="85" t="n">
        <v>473.62</v>
      </c>
      <c r="H15" s="85" t="n">
        <v>518.86</v>
      </c>
      <c r="I15" s="85" t="n">
        <v>511.4</v>
      </c>
      <c r="J15" s="85" t="n">
        <v>548</v>
      </c>
      <c r="K15" s="85" t="n">
        <v>535.45</v>
      </c>
      <c r="L15" s="85" t="n">
        <v>575.09</v>
      </c>
      <c r="M15" s="85" t="n">
        <v>630.56</v>
      </c>
      <c r="N15" s="85" t="n">
        <v>686.21</v>
      </c>
      <c r="O15" s="85" t="n">
        <v>707</v>
      </c>
      <c r="P15" s="19" t="n">
        <v>831.6</v>
      </c>
      <c r="Q15" s="87" t="n">
        <v>885.52</v>
      </c>
      <c r="R15" s="87" t="n">
        <v>1086.85</v>
      </c>
      <c r="S15" s="87" t="n">
        <v>965.044</v>
      </c>
    </row>
    <row r="16" customFormat="false" ht="19.5" hidden="false" customHeight="true" outlineLevel="0" collapsed="false">
      <c r="A16" s="130" t="s">
        <v>77</v>
      </c>
      <c r="B16" s="131" t="n">
        <v>1350</v>
      </c>
      <c r="C16" s="85" t="n">
        <v>1412.2</v>
      </c>
      <c r="D16" s="85" t="n">
        <v>1342.57</v>
      </c>
      <c r="E16" s="85" t="n">
        <v>1489.66</v>
      </c>
      <c r="F16" s="85" t="n">
        <v>1652.98</v>
      </c>
      <c r="G16" s="85" t="n">
        <v>1738.09</v>
      </c>
      <c r="H16" s="85" t="n">
        <v>1799.97</v>
      </c>
      <c r="I16" s="85" t="n">
        <v>1890.1</v>
      </c>
      <c r="J16" s="85" t="n">
        <v>2081.79</v>
      </c>
      <c r="K16" s="85" t="n">
        <v>2190.1</v>
      </c>
      <c r="L16" s="85" t="n">
        <v>2298.68</v>
      </c>
      <c r="M16" s="85" t="n">
        <v>2538.9</v>
      </c>
      <c r="N16" s="85" t="n">
        <v>2754.4</v>
      </c>
      <c r="O16" s="85" t="n">
        <v>3004</v>
      </c>
      <c r="P16" s="19" t="n">
        <v>3203</v>
      </c>
      <c r="Q16" s="87" t="n">
        <v>3400.9</v>
      </c>
      <c r="R16" s="87" t="n">
        <v>3409.7</v>
      </c>
      <c r="S16" s="87" t="n">
        <v>3472.06</v>
      </c>
    </row>
    <row r="17" customFormat="false" ht="19.5" hidden="false" customHeight="true" outlineLevel="0" collapsed="false">
      <c r="A17" s="132" t="s">
        <v>33</v>
      </c>
      <c r="B17" s="133" t="n">
        <f aca="false">SUM(B15:B16)</f>
        <v>1778.23</v>
      </c>
      <c r="C17" s="134" t="n">
        <f aca="false">SUM(C15:C16)</f>
        <v>1837.8</v>
      </c>
      <c r="D17" s="134" t="n">
        <f aca="false">SUM(D15:D16)</f>
        <v>1798.57</v>
      </c>
      <c r="E17" s="134" t="n">
        <f aca="false">SUM(E15:E16)</f>
        <v>1936.99</v>
      </c>
      <c r="F17" s="134" t="n">
        <f aca="false">SUM(F15:F16)</f>
        <v>2140.31</v>
      </c>
      <c r="G17" s="134" t="n">
        <f aca="false">SUM(G15:G16)</f>
        <v>2211.71</v>
      </c>
      <c r="H17" s="134" t="n">
        <f aca="false">SUM(H15:H16)</f>
        <v>2318.83</v>
      </c>
      <c r="I17" s="134" t="n">
        <f aca="false">SUM(I15:I16)</f>
        <v>2401.5</v>
      </c>
      <c r="J17" s="134" t="n">
        <f aca="false">SUM(J15:J16)</f>
        <v>2629.79</v>
      </c>
      <c r="K17" s="134" t="n">
        <f aca="false">SUM(K15:K16)</f>
        <v>2725.55</v>
      </c>
      <c r="L17" s="134" t="n">
        <f aca="false">SUM(L15:L16)</f>
        <v>2873.77</v>
      </c>
      <c r="M17" s="134" t="n">
        <f aca="false">SUM(M15:M16)</f>
        <v>3169.46</v>
      </c>
      <c r="N17" s="134" t="n">
        <f aca="false">SUM(N15:N16)</f>
        <v>3440.61</v>
      </c>
      <c r="O17" s="134" t="n">
        <f aca="false">SUM(O15:O16)</f>
        <v>3711</v>
      </c>
      <c r="P17" s="134" t="n">
        <f aca="false">SUM(P15:P16)</f>
        <v>4034.6</v>
      </c>
      <c r="Q17" s="105" t="n">
        <v>4613.57</v>
      </c>
      <c r="R17" s="105" t="n">
        <v>7249.6</v>
      </c>
      <c r="S17" s="105" t="n">
        <v>7254.6</v>
      </c>
    </row>
    <row r="18" customFormat="false" ht="12.75" hidden="false" customHeight="false" outlineLevel="0" collapsed="false">
      <c r="A18" s="110" t="s">
        <v>60</v>
      </c>
    </row>
  </sheetData>
  <mergeCells count="4">
    <mergeCell ref="A1:O1"/>
    <mergeCell ref="B3:O3"/>
    <mergeCell ref="A12:A13"/>
    <mergeCell ref="B12:S12"/>
  </mergeCells>
  <printOptions headings="false" gridLines="false" gridLinesSet="true" horizontalCentered="true" verticalCentered="true"/>
  <pageMargins left="1.05972222222222" right="0.7" top="1" bottom="1.12013888888889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0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18" activeCellId="0" sqref="E18"/>
    </sheetView>
  </sheetViews>
  <sheetFormatPr defaultColWidth="7.78125" defaultRowHeight="15" customHeight="false" zeroHeight="false" outlineLevelRow="0" outlineLevelCol="0"/>
  <cols>
    <col collapsed="false" customWidth="true" hidden="false" outlineLevel="0" max="1" min="1" style="135" width="17.77"/>
    <col collapsed="false" customWidth="true" hidden="false" outlineLevel="0" max="2" min="2" style="135" width="9.11"/>
    <col collapsed="false" customWidth="true" hidden="false" outlineLevel="0" max="10" min="3" style="135" width="10.56"/>
    <col collapsed="false" customWidth="true" hidden="false" outlineLevel="0" max="11" min="11" style="135" width="10"/>
    <col collapsed="false" customWidth="true" hidden="false" outlineLevel="0" max="15" min="12" style="135" width="10.33"/>
    <col collapsed="false" customWidth="false" hidden="false" outlineLevel="0" max="16384" min="16" style="135" width="7.78"/>
  </cols>
  <sheetData>
    <row r="1" customFormat="false" ht="19.7" hidden="false" customHeight="false" outlineLevel="0" collapsed="false">
      <c r="A1" s="136" t="s">
        <v>79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customFormat="false" ht="15" hidden="false" customHeight="false" outlineLevel="0" collapsed="false">
      <c r="A2" s="137"/>
      <c r="B2" s="137"/>
      <c r="C2" s="137"/>
      <c r="D2" s="137"/>
      <c r="E2" s="137"/>
      <c r="F2" s="137"/>
      <c r="G2" s="137"/>
      <c r="H2" s="137"/>
      <c r="I2" s="138"/>
      <c r="J2" s="138"/>
      <c r="L2" s="139" t="s">
        <v>80</v>
      </c>
      <c r="M2" s="139"/>
      <c r="N2" s="139"/>
      <c r="O2" s="139"/>
    </row>
    <row r="3" customFormat="false" ht="21.75" hidden="false" customHeight="true" outlineLevel="0" collapsed="false">
      <c r="A3" s="140" t="s">
        <v>74</v>
      </c>
      <c r="B3" s="141" t="s">
        <v>5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</row>
    <row r="4" customFormat="false" ht="24.75" hidden="false" customHeight="true" outlineLevel="0" collapsed="false">
      <c r="A4" s="140"/>
      <c r="B4" s="142" t="s">
        <v>50</v>
      </c>
      <c r="C4" s="142" t="s">
        <v>51</v>
      </c>
      <c r="D4" s="142" t="s">
        <v>52</v>
      </c>
      <c r="E4" s="143" t="s">
        <v>53</v>
      </c>
      <c r="F4" s="143" t="s">
        <v>54</v>
      </c>
      <c r="G4" s="143" t="s">
        <v>55</v>
      </c>
      <c r="H4" s="143" t="s">
        <v>56</v>
      </c>
      <c r="I4" s="143" t="s">
        <v>81</v>
      </c>
      <c r="J4" s="143" t="s">
        <v>82</v>
      </c>
      <c r="K4" s="143" t="s">
        <v>83</v>
      </c>
      <c r="L4" s="143" t="s">
        <v>84</v>
      </c>
      <c r="M4" s="143" t="s">
        <v>85</v>
      </c>
      <c r="N4" s="143" t="s">
        <v>86</v>
      </c>
      <c r="O4" s="143" t="s">
        <v>87</v>
      </c>
      <c r="P4" s="143" t="s">
        <v>88</v>
      </c>
      <c r="Q4" s="144" t="s">
        <v>89</v>
      </c>
      <c r="R4" s="144" t="s">
        <v>90</v>
      </c>
    </row>
    <row r="5" customFormat="false" ht="15" hidden="false" customHeight="false" outlineLevel="0" collapsed="false">
      <c r="A5" s="145" t="s">
        <v>91</v>
      </c>
      <c r="B5" s="146" t="n">
        <v>269.77</v>
      </c>
      <c r="C5" s="146" t="n">
        <v>255.38</v>
      </c>
      <c r="D5" s="146" t="n">
        <v>262.35</v>
      </c>
      <c r="E5" s="146" t="n">
        <v>318.36</v>
      </c>
      <c r="F5" s="146" t="n">
        <v>327.15</v>
      </c>
      <c r="G5" s="146" t="n">
        <v>356.7</v>
      </c>
      <c r="H5" s="146" t="n">
        <v>281.7512</v>
      </c>
      <c r="I5" s="146" t="n">
        <v>353.854</v>
      </c>
      <c r="J5" s="146" t="n">
        <v>351.895</v>
      </c>
      <c r="K5" s="146" t="n">
        <v>353.148</v>
      </c>
      <c r="L5" s="146" t="n">
        <v>368.74</v>
      </c>
      <c r="M5" s="146" t="n">
        <v>381.987</v>
      </c>
      <c r="N5" s="146" t="n">
        <v>404.21</v>
      </c>
      <c r="O5" s="146" t="n">
        <v>397.14</v>
      </c>
      <c r="P5" s="146" t="n">
        <v>408.371</v>
      </c>
      <c r="Q5" s="147" t="n">
        <v>340.2</v>
      </c>
      <c r="R5" s="147" t="n">
        <v>277</v>
      </c>
    </row>
    <row r="6" customFormat="false" ht="15" hidden="false" customHeight="false" outlineLevel="0" collapsed="false">
      <c r="A6" s="148" t="s">
        <v>76</v>
      </c>
      <c r="B6" s="146" t="n">
        <v>630.56</v>
      </c>
      <c r="C6" s="146" t="n">
        <v>686.21</v>
      </c>
      <c r="D6" s="146" t="n">
        <v>707</v>
      </c>
      <c r="E6" s="146" t="n">
        <v>831.6</v>
      </c>
      <c r="F6" s="146" t="n">
        <v>885.52</v>
      </c>
      <c r="G6" s="146" t="n">
        <v>1086.85</v>
      </c>
      <c r="H6" s="146" t="n">
        <v>965.044</v>
      </c>
      <c r="I6" s="146" t="n">
        <v>991.978</v>
      </c>
      <c r="J6" s="146" t="n">
        <v>992.551</v>
      </c>
      <c r="K6" s="146" t="n">
        <v>1025.28</v>
      </c>
      <c r="L6" s="146" t="n">
        <v>1010.22</v>
      </c>
      <c r="M6" s="146" t="n">
        <v>1178.35163483537</v>
      </c>
      <c r="N6" s="146" t="n">
        <v>1249.764</v>
      </c>
      <c r="O6" s="146" t="n">
        <v>1360.8274235701</v>
      </c>
      <c r="P6" s="146" t="n">
        <v>1416.75</v>
      </c>
      <c r="Q6" s="147" t="n">
        <v>1527.7</v>
      </c>
      <c r="R6" s="147" t="n">
        <v>1509</v>
      </c>
    </row>
    <row r="7" customFormat="false" ht="15" hidden="false" customHeight="false" outlineLevel="0" collapsed="false">
      <c r="A7" s="145" t="s">
        <v>77</v>
      </c>
      <c r="B7" s="146" t="n">
        <v>2538.9</v>
      </c>
      <c r="C7" s="146" t="n">
        <v>2754.4</v>
      </c>
      <c r="D7" s="146" t="n">
        <v>3004</v>
      </c>
      <c r="E7" s="146" t="n">
        <v>3203</v>
      </c>
      <c r="F7" s="146" t="n">
        <v>3400.9</v>
      </c>
      <c r="G7" s="146" t="n">
        <v>3409.7</v>
      </c>
      <c r="H7" s="146" t="n">
        <v>3472.06</v>
      </c>
      <c r="I7" s="146" t="n">
        <v>3580.085</v>
      </c>
      <c r="J7" s="146" t="n">
        <v>3819.809</v>
      </c>
      <c r="K7" s="146" t="n">
        <v>4163.59</v>
      </c>
      <c r="L7" s="146" t="n">
        <v>4099.35</v>
      </c>
      <c r="M7" s="146" t="n">
        <v>4271.27032135388</v>
      </c>
      <c r="N7" s="146" t="n">
        <v>3962.38</v>
      </c>
      <c r="O7" s="146" t="n">
        <v>3993.16733939305</v>
      </c>
      <c r="P7" s="146" t="n">
        <v>4153.16</v>
      </c>
      <c r="Q7" s="147" t="n">
        <v>4376.08</v>
      </c>
      <c r="R7" s="147" t="n">
        <v>4440</v>
      </c>
    </row>
    <row r="8" customFormat="false" ht="15" hidden="false" customHeight="false" outlineLevel="0" collapsed="false">
      <c r="A8" s="149" t="s">
        <v>92</v>
      </c>
      <c r="B8" s="150"/>
      <c r="C8" s="151"/>
      <c r="D8" s="151"/>
      <c r="E8" s="151"/>
      <c r="F8" s="151"/>
      <c r="G8" s="151"/>
      <c r="H8" s="151"/>
      <c r="I8" s="152"/>
      <c r="J8" s="153"/>
      <c r="K8" s="137"/>
      <c r="L8" s="154"/>
      <c r="M8" s="154"/>
      <c r="N8" s="154"/>
    </row>
  </sheetData>
  <mergeCells count="4">
    <mergeCell ref="A1:O1"/>
    <mergeCell ref="L2:O2"/>
    <mergeCell ref="A3:A4"/>
    <mergeCell ref="B3:R3"/>
  </mergeCells>
  <printOptions headings="false" gridLines="false" gridLinesSet="true" horizontalCentered="true" verticalCentered="false"/>
  <pageMargins left="0.9" right="0.9" top="0.8" bottom="1.2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3" activeCellId="0" sqref="R23"/>
    </sheetView>
  </sheetViews>
  <sheetFormatPr defaultColWidth="7.78125" defaultRowHeight="12.75" customHeight="false" zeroHeight="false" outlineLevelRow="0" outlineLevelCol="0"/>
  <cols>
    <col collapsed="false" customWidth="true" hidden="false" outlineLevel="0" max="1" min="1" style="1" width="16.88"/>
    <col collapsed="false" customWidth="true" hidden="false" outlineLevel="0" max="13" min="2" style="1" width="6.11"/>
    <col collapsed="false" customWidth="true" hidden="false" outlineLevel="0" max="14" min="14" style="1" width="6.77"/>
    <col collapsed="false" customWidth="true" hidden="false" outlineLevel="0" max="15" min="15" style="1" width="7.22"/>
    <col collapsed="false" customWidth="true" hidden="false" outlineLevel="0" max="16" min="16" style="1" width="6.33"/>
    <col collapsed="false" customWidth="true" hidden="false" outlineLevel="0" max="17" min="17" style="1" width="6.77"/>
    <col collapsed="false" customWidth="true" hidden="false" outlineLevel="0" max="18" min="18" style="1" width="6.33"/>
    <col collapsed="false" customWidth="true" hidden="false" outlineLevel="0" max="19" min="19" style="1" width="7.11"/>
    <col collapsed="false" customWidth="false" hidden="false" outlineLevel="0" max="255" min="20" style="1" width="7.78"/>
    <col collapsed="false" customWidth="true" hidden="false" outlineLevel="0" max="256" min="256" style="1" width="16.88"/>
    <col collapsed="false" customWidth="true" hidden="false" outlineLevel="0" max="268" min="257" style="1" width="6.11"/>
    <col collapsed="false" customWidth="true" hidden="false" outlineLevel="0" max="269" min="269" style="1" width="6.77"/>
    <col collapsed="false" customWidth="true" hidden="false" outlineLevel="0" max="270" min="270" style="1" width="7.22"/>
    <col collapsed="false" customWidth="true" hidden="false" outlineLevel="0" max="271" min="271" style="1" width="6.33"/>
    <col collapsed="false" customWidth="true" hidden="false" outlineLevel="0" max="272" min="272" style="1" width="6.77"/>
    <col collapsed="false" customWidth="true" hidden="false" outlineLevel="0" max="273" min="273" style="1" width="6.33"/>
    <col collapsed="false" customWidth="true" hidden="false" outlineLevel="0" max="274" min="274" style="1" width="7.11"/>
    <col collapsed="false" customWidth="false" hidden="false" outlineLevel="0" max="511" min="275" style="1" width="7.78"/>
    <col collapsed="false" customWidth="true" hidden="false" outlineLevel="0" max="512" min="512" style="1" width="16.88"/>
    <col collapsed="false" customWidth="true" hidden="false" outlineLevel="0" max="524" min="513" style="1" width="6.11"/>
    <col collapsed="false" customWidth="true" hidden="false" outlineLevel="0" max="525" min="525" style="1" width="6.77"/>
    <col collapsed="false" customWidth="true" hidden="false" outlineLevel="0" max="526" min="526" style="1" width="7.22"/>
    <col collapsed="false" customWidth="true" hidden="false" outlineLevel="0" max="527" min="527" style="1" width="6.33"/>
    <col collapsed="false" customWidth="true" hidden="false" outlineLevel="0" max="528" min="528" style="1" width="6.77"/>
    <col collapsed="false" customWidth="true" hidden="false" outlineLevel="0" max="529" min="529" style="1" width="6.33"/>
    <col collapsed="false" customWidth="true" hidden="false" outlineLevel="0" max="530" min="530" style="1" width="7.11"/>
    <col collapsed="false" customWidth="false" hidden="false" outlineLevel="0" max="767" min="531" style="1" width="7.78"/>
    <col collapsed="false" customWidth="true" hidden="false" outlineLevel="0" max="768" min="768" style="1" width="16.88"/>
    <col collapsed="false" customWidth="true" hidden="false" outlineLevel="0" max="780" min="769" style="1" width="6.11"/>
    <col collapsed="false" customWidth="true" hidden="false" outlineLevel="0" max="781" min="781" style="1" width="6.77"/>
    <col collapsed="false" customWidth="true" hidden="false" outlineLevel="0" max="782" min="782" style="1" width="7.22"/>
    <col collapsed="false" customWidth="true" hidden="false" outlineLevel="0" max="783" min="783" style="1" width="6.33"/>
    <col collapsed="false" customWidth="true" hidden="false" outlineLevel="0" max="784" min="784" style="1" width="6.77"/>
    <col collapsed="false" customWidth="true" hidden="false" outlineLevel="0" max="785" min="785" style="1" width="6.33"/>
    <col collapsed="false" customWidth="true" hidden="false" outlineLevel="0" max="786" min="786" style="1" width="7.11"/>
    <col collapsed="false" customWidth="false" hidden="false" outlineLevel="0" max="1023" min="787" style="1" width="7.78"/>
    <col collapsed="false" customWidth="true" hidden="false" outlineLevel="0" max="1024" min="1024" style="1" width="16.88"/>
    <col collapsed="false" customWidth="true" hidden="false" outlineLevel="0" max="1036" min="1025" style="1" width="6.11"/>
    <col collapsed="false" customWidth="true" hidden="false" outlineLevel="0" max="1037" min="1037" style="1" width="6.77"/>
    <col collapsed="false" customWidth="true" hidden="false" outlineLevel="0" max="1038" min="1038" style="1" width="7.22"/>
    <col collapsed="false" customWidth="true" hidden="false" outlineLevel="0" max="1039" min="1039" style="1" width="6.33"/>
    <col collapsed="false" customWidth="true" hidden="false" outlineLevel="0" max="1040" min="1040" style="1" width="6.77"/>
    <col collapsed="false" customWidth="true" hidden="false" outlineLevel="0" max="1041" min="1041" style="1" width="6.33"/>
    <col collapsed="false" customWidth="true" hidden="false" outlineLevel="0" max="1042" min="1042" style="1" width="7.11"/>
    <col collapsed="false" customWidth="false" hidden="false" outlineLevel="0" max="1279" min="1043" style="1" width="7.78"/>
    <col collapsed="false" customWidth="true" hidden="false" outlineLevel="0" max="1280" min="1280" style="1" width="16.88"/>
    <col collapsed="false" customWidth="true" hidden="false" outlineLevel="0" max="1292" min="1281" style="1" width="6.11"/>
    <col collapsed="false" customWidth="true" hidden="false" outlineLevel="0" max="1293" min="1293" style="1" width="6.77"/>
    <col collapsed="false" customWidth="true" hidden="false" outlineLevel="0" max="1294" min="1294" style="1" width="7.22"/>
    <col collapsed="false" customWidth="true" hidden="false" outlineLevel="0" max="1295" min="1295" style="1" width="6.33"/>
    <col collapsed="false" customWidth="true" hidden="false" outlineLevel="0" max="1296" min="1296" style="1" width="6.77"/>
    <col collapsed="false" customWidth="true" hidden="false" outlineLevel="0" max="1297" min="1297" style="1" width="6.33"/>
    <col collapsed="false" customWidth="true" hidden="false" outlineLevel="0" max="1298" min="1298" style="1" width="7.11"/>
    <col collapsed="false" customWidth="false" hidden="false" outlineLevel="0" max="1535" min="1299" style="1" width="7.78"/>
    <col collapsed="false" customWidth="true" hidden="false" outlineLevel="0" max="1536" min="1536" style="1" width="16.88"/>
    <col collapsed="false" customWidth="true" hidden="false" outlineLevel="0" max="1548" min="1537" style="1" width="6.11"/>
    <col collapsed="false" customWidth="true" hidden="false" outlineLevel="0" max="1549" min="1549" style="1" width="6.77"/>
    <col collapsed="false" customWidth="true" hidden="false" outlineLevel="0" max="1550" min="1550" style="1" width="7.22"/>
    <col collapsed="false" customWidth="true" hidden="false" outlineLevel="0" max="1551" min="1551" style="1" width="6.33"/>
    <col collapsed="false" customWidth="true" hidden="false" outlineLevel="0" max="1552" min="1552" style="1" width="6.77"/>
    <col collapsed="false" customWidth="true" hidden="false" outlineLevel="0" max="1553" min="1553" style="1" width="6.33"/>
    <col collapsed="false" customWidth="true" hidden="false" outlineLevel="0" max="1554" min="1554" style="1" width="7.11"/>
    <col collapsed="false" customWidth="false" hidden="false" outlineLevel="0" max="1791" min="1555" style="1" width="7.78"/>
    <col collapsed="false" customWidth="true" hidden="false" outlineLevel="0" max="1792" min="1792" style="1" width="16.88"/>
    <col collapsed="false" customWidth="true" hidden="false" outlineLevel="0" max="1804" min="1793" style="1" width="6.11"/>
    <col collapsed="false" customWidth="true" hidden="false" outlineLevel="0" max="1805" min="1805" style="1" width="6.77"/>
    <col collapsed="false" customWidth="true" hidden="false" outlineLevel="0" max="1806" min="1806" style="1" width="7.22"/>
    <col collapsed="false" customWidth="true" hidden="false" outlineLevel="0" max="1807" min="1807" style="1" width="6.33"/>
    <col collapsed="false" customWidth="true" hidden="false" outlineLevel="0" max="1808" min="1808" style="1" width="6.77"/>
    <col collapsed="false" customWidth="true" hidden="false" outlineLevel="0" max="1809" min="1809" style="1" width="6.33"/>
    <col collapsed="false" customWidth="true" hidden="false" outlineLevel="0" max="1810" min="1810" style="1" width="7.11"/>
    <col collapsed="false" customWidth="false" hidden="false" outlineLevel="0" max="2047" min="1811" style="1" width="7.78"/>
    <col collapsed="false" customWidth="true" hidden="false" outlineLevel="0" max="2048" min="2048" style="1" width="16.88"/>
    <col collapsed="false" customWidth="true" hidden="false" outlineLevel="0" max="2060" min="2049" style="1" width="6.11"/>
    <col collapsed="false" customWidth="true" hidden="false" outlineLevel="0" max="2061" min="2061" style="1" width="6.77"/>
    <col collapsed="false" customWidth="true" hidden="false" outlineLevel="0" max="2062" min="2062" style="1" width="7.22"/>
    <col collapsed="false" customWidth="true" hidden="false" outlineLevel="0" max="2063" min="2063" style="1" width="6.33"/>
    <col collapsed="false" customWidth="true" hidden="false" outlineLevel="0" max="2064" min="2064" style="1" width="6.77"/>
    <col collapsed="false" customWidth="true" hidden="false" outlineLevel="0" max="2065" min="2065" style="1" width="6.33"/>
    <col collapsed="false" customWidth="true" hidden="false" outlineLevel="0" max="2066" min="2066" style="1" width="7.11"/>
    <col collapsed="false" customWidth="false" hidden="false" outlineLevel="0" max="2303" min="2067" style="1" width="7.78"/>
    <col collapsed="false" customWidth="true" hidden="false" outlineLevel="0" max="2304" min="2304" style="1" width="16.88"/>
    <col collapsed="false" customWidth="true" hidden="false" outlineLevel="0" max="2316" min="2305" style="1" width="6.11"/>
    <col collapsed="false" customWidth="true" hidden="false" outlineLevel="0" max="2317" min="2317" style="1" width="6.77"/>
    <col collapsed="false" customWidth="true" hidden="false" outlineLevel="0" max="2318" min="2318" style="1" width="7.22"/>
    <col collapsed="false" customWidth="true" hidden="false" outlineLevel="0" max="2319" min="2319" style="1" width="6.33"/>
    <col collapsed="false" customWidth="true" hidden="false" outlineLevel="0" max="2320" min="2320" style="1" width="6.77"/>
    <col collapsed="false" customWidth="true" hidden="false" outlineLevel="0" max="2321" min="2321" style="1" width="6.33"/>
    <col collapsed="false" customWidth="true" hidden="false" outlineLevel="0" max="2322" min="2322" style="1" width="7.11"/>
    <col collapsed="false" customWidth="false" hidden="false" outlineLevel="0" max="2559" min="2323" style="1" width="7.78"/>
    <col collapsed="false" customWidth="true" hidden="false" outlineLevel="0" max="2560" min="2560" style="1" width="16.88"/>
    <col collapsed="false" customWidth="true" hidden="false" outlineLevel="0" max="2572" min="2561" style="1" width="6.11"/>
    <col collapsed="false" customWidth="true" hidden="false" outlineLevel="0" max="2573" min="2573" style="1" width="6.77"/>
    <col collapsed="false" customWidth="true" hidden="false" outlineLevel="0" max="2574" min="2574" style="1" width="7.22"/>
    <col collapsed="false" customWidth="true" hidden="false" outlineLevel="0" max="2575" min="2575" style="1" width="6.33"/>
    <col collapsed="false" customWidth="true" hidden="false" outlineLevel="0" max="2576" min="2576" style="1" width="6.77"/>
    <col collapsed="false" customWidth="true" hidden="false" outlineLevel="0" max="2577" min="2577" style="1" width="6.33"/>
    <col collapsed="false" customWidth="true" hidden="false" outlineLevel="0" max="2578" min="2578" style="1" width="7.11"/>
    <col collapsed="false" customWidth="false" hidden="false" outlineLevel="0" max="2815" min="2579" style="1" width="7.78"/>
    <col collapsed="false" customWidth="true" hidden="false" outlineLevel="0" max="2816" min="2816" style="1" width="16.88"/>
    <col collapsed="false" customWidth="true" hidden="false" outlineLevel="0" max="2828" min="2817" style="1" width="6.11"/>
    <col collapsed="false" customWidth="true" hidden="false" outlineLevel="0" max="2829" min="2829" style="1" width="6.77"/>
    <col collapsed="false" customWidth="true" hidden="false" outlineLevel="0" max="2830" min="2830" style="1" width="7.22"/>
    <col collapsed="false" customWidth="true" hidden="false" outlineLevel="0" max="2831" min="2831" style="1" width="6.33"/>
    <col collapsed="false" customWidth="true" hidden="false" outlineLevel="0" max="2832" min="2832" style="1" width="6.77"/>
    <col collapsed="false" customWidth="true" hidden="false" outlineLevel="0" max="2833" min="2833" style="1" width="6.33"/>
    <col collapsed="false" customWidth="true" hidden="false" outlineLevel="0" max="2834" min="2834" style="1" width="7.11"/>
    <col collapsed="false" customWidth="false" hidden="false" outlineLevel="0" max="3071" min="2835" style="1" width="7.78"/>
    <col collapsed="false" customWidth="true" hidden="false" outlineLevel="0" max="3072" min="3072" style="1" width="16.88"/>
    <col collapsed="false" customWidth="true" hidden="false" outlineLevel="0" max="3084" min="3073" style="1" width="6.11"/>
    <col collapsed="false" customWidth="true" hidden="false" outlineLevel="0" max="3085" min="3085" style="1" width="6.77"/>
    <col collapsed="false" customWidth="true" hidden="false" outlineLevel="0" max="3086" min="3086" style="1" width="7.22"/>
    <col collapsed="false" customWidth="true" hidden="false" outlineLevel="0" max="3087" min="3087" style="1" width="6.33"/>
    <col collapsed="false" customWidth="true" hidden="false" outlineLevel="0" max="3088" min="3088" style="1" width="6.77"/>
    <col collapsed="false" customWidth="true" hidden="false" outlineLevel="0" max="3089" min="3089" style="1" width="6.33"/>
    <col collapsed="false" customWidth="true" hidden="false" outlineLevel="0" max="3090" min="3090" style="1" width="7.11"/>
    <col collapsed="false" customWidth="false" hidden="false" outlineLevel="0" max="3327" min="3091" style="1" width="7.78"/>
    <col collapsed="false" customWidth="true" hidden="false" outlineLevel="0" max="3328" min="3328" style="1" width="16.88"/>
    <col collapsed="false" customWidth="true" hidden="false" outlineLevel="0" max="3340" min="3329" style="1" width="6.11"/>
    <col collapsed="false" customWidth="true" hidden="false" outlineLevel="0" max="3341" min="3341" style="1" width="6.77"/>
    <col collapsed="false" customWidth="true" hidden="false" outlineLevel="0" max="3342" min="3342" style="1" width="7.22"/>
    <col collapsed="false" customWidth="true" hidden="false" outlineLevel="0" max="3343" min="3343" style="1" width="6.33"/>
    <col collapsed="false" customWidth="true" hidden="false" outlineLevel="0" max="3344" min="3344" style="1" width="6.77"/>
    <col collapsed="false" customWidth="true" hidden="false" outlineLevel="0" max="3345" min="3345" style="1" width="6.33"/>
    <col collapsed="false" customWidth="true" hidden="false" outlineLevel="0" max="3346" min="3346" style="1" width="7.11"/>
    <col collapsed="false" customWidth="false" hidden="false" outlineLevel="0" max="3583" min="3347" style="1" width="7.78"/>
    <col collapsed="false" customWidth="true" hidden="false" outlineLevel="0" max="3584" min="3584" style="1" width="16.88"/>
    <col collapsed="false" customWidth="true" hidden="false" outlineLevel="0" max="3596" min="3585" style="1" width="6.11"/>
    <col collapsed="false" customWidth="true" hidden="false" outlineLevel="0" max="3597" min="3597" style="1" width="6.77"/>
    <col collapsed="false" customWidth="true" hidden="false" outlineLevel="0" max="3598" min="3598" style="1" width="7.22"/>
    <col collapsed="false" customWidth="true" hidden="false" outlineLevel="0" max="3599" min="3599" style="1" width="6.33"/>
    <col collapsed="false" customWidth="true" hidden="false" outlineLevel="0" max="3600" min="3600" style="1" width="6.77"/>
    <col collapsed="false" customWidth="true" hidden="false" outlineLevel="0" max="3601" min="3601" style="1" width="6.33"/>
    <col collapsed="false" customWidth="true" hidden="false" outlineLevel="0" max="3602" min="3602" style="1" width="7.11"/>
    <col collapsed="false" customWidth="false" hidden="false" outlineLevel="0" max="3839" min="3603" style="1" width="7.78"/>
    <col collapsed="false" customWidth="true" hidden="false" outlineLevel="0" max="3840" min="3840" style="1" width="16.88"/>
    <col collapsed="false" customWidth="true" hidden="false" outlineLevel="0" max="3852" min="3841" style="1" width="6.11"/>
    <col collapsed="false" customWidth="true" hidden="false" outlineLevel="0" max="3853" min="3853" style="1" width="6.77"/>
    <col collapsed="false" customWidth="true" hidden="false" outlineLevel="0" max="3854" min="3854" style="1" width="7.22"/>
    <col collapsed="false" customWidth="true" hidden="false" outlineLevel="0" max="3855" min="3855" style="1" width="6.33"/>
    <col collapsed="false" customWidth="true" hidden="false" outlineLevel="0" max="3856" min="3856" style="1" width="6.77"/>
    <col collapsed="false" customWidth="true" hidden="false" outlineLevel="0" max="3857" min="3857" style="1" width="6.33"/>
    <col collapsed="false" customWidth="true" hidden="false" outlineLevel="0" max="3858" min="3858" style="1" width="7.11"/>
    <col collapsed="false" customWidth="false" hidden="false" outlineLevel="0" max="4095" min="3859" style="1" width="7.78"/>
    <col collapsed="false" customWidth="true" hidden="false" outlineLevel="0" max="4096" min="4096" style="1" width="16.88"/>
    <col collapsed="false" customWidth="true" hidden="false" outlineLevel="0" max="4108" min="4097" style="1" width="6.11"/>
    <col collapsed="false" customWidth="true" hidden="false" outlineLevel="0" max="4109" min="4109" style="1" width="6.77"/>
    <col collapsed="false" customWidth="true" hidden="false" outlineLevel="0" max="4110" min="4110" style="1" width="7.22"/>
    <col collapsed="false" customWidth="true" hidden="false" outlineLevel="0" max="4111" min="4111" style="1" width="6.33"/>
    <col collapsed="false" customWidth="true" hidden="false" outlineLevel="0" max="4112" min="4112" style="1" width="6.77"/>
    <col collapsed="false" customWidth="true" hidden="false" outlineLevel="0" max="4113" min="4113" style="1" width="6.33"/>
    <col collapsed="false" customWidth="true" hidden="false" outlineLevel="0" max="4114" min="4114" style="1" width="7.11"/>
    <col collapsed="false" customWidth="false" hidden="false" outlineLevel="0" max="4351" min="4115" style="1" width="7.78"/>
    <col collapsed="false" customWidth="true" hidden="false" outlineLevel="0" max="4352" min="4352" style="1" width="16.88"/>
    <col collapsed="false" customWidth="true" hidden="false" outlineLevel="0" max="4364" min="4353" style="1" width="6.11"/>
    <col collapsed="false" customWidth="true" hidden="false" outlineLevel="0" max="4365" min="4365" style="1" width="6.77"/>
    <col collapsed="false" customWidth="true" hidden="false" outlineLevel="0" max="4366" min="4366" style="1" width="7.22"/>
    <col collapsed="false" customWidth="true" hidden="false" outlineLevel="0" max="4367" min="4367" style="1" width="6.33"/>
    <col collapsed="false" customWidth="true" hidden="false" outlineLevel="0" max="4368" min="4368" style="1" width="6.77"/>
    <col collapsed="false" customWidth="true" hidden="false" outlineLevel="0" max="4369" min="4369" style="1" width="6.33"/>
    <col collapsed="false" customWidth="true" hidden="false" outlineLevel="0" max="4370" min="4370" style="1" width="7.11"/>
    <col collapsed="false" customWidth="false" hidden="false" outlineLevel="0" max="4607" min="4371" style="1" width="7.78"/>
    <col collapsed="false" customWidth="true" hidden="false" outlineLevel="0" max="4608" min="4608" style="1" width="16.88"/>
    <col collapsed="false" customWidth="true" hidden="false" outlineLevel="0" max="4620" min="4609" style="1" width="6.11"/>
    <col collapsed="false" customWidth="true" hidden="false" outlineLevel="0" max="4621" min="4621" style="1" width="6.77"/>
    <col collapsed="false" customWidth="true" hidden="false" outlineLevel="0" max="4622" min="4622" style="1" width="7.22"/>
    <col collapsed="false" customWidth="true" hidden="false" outlineLevel="0" max="4623" min="4623" style="1" width="6.33"/>
    <col collapsed="false" customWidth="true" hidden="false" outlineLevel="0" max="4624" min="4624" style="1" width="6.77"/>
    <col collapsed="false" customWidth="true" hidden="false" outlineLevel="0" max="4625" min="4625" style="1" width="6.33"/>
    <col collapsed="false" customWidth="true" hidden="false" outlineLevel="0" max="4626" min="4626" style="1" width="7.11"/>
    <col collapsed="false" customWidth="false" hidden="false" outlineLevel="0" max="4863" min="4627" style="1" width="7.78"/>
    <col collapsed="false" customWidth="true" hidden="false" outlineLevel="0" max="4864" min="4864" style="1" width="16.88"/>
    <col collapsed="false" customWidth="true" hidden="false" outlineLevel="0" max="4876" min="4865" style="1" width="6.11"/>
    <col collapsed="false" customWidth="true" hidden="false" outlineLevel="0" max="4877" min="4877" style="1" width="6.77"/>
    <col collapsed="false" customWidth="true" hidden="false" outlineLevel="0" max="4878" min="4878" style="1" width="7.22"/>
    <col collapsed="false" customWidth="true" hidden="false" outlineLevel="0" max="4879" min="4879" style="1" width="6.33"/>
    <col collapsed="false" customWidth="true" hidden="false" outlineLevel="0" max="4880" min="4880" style="1" width="6.77"/>
    <col collapsed="false" customWidth="true" hidden="false" outlineLevel="0" max="4881" min="4881" style="1" width="6.33"/>
    <col collapsed="false" customWidth="true" hidden="false" outlineLevel="0" max="4882" min="4882" style="1" width="7.11"/>
    <col collapsed="false" customWidth="false" hidden="false" outlineLevel="0" max="5119" min="4883" style="1" width="7.78"/>
    <col collapsed="false" customWidth="true" hidden="false" outlineLevel="0" max="5120" min="5120" style="1" width="16.88"/>
    <col collapsed="false" customWidth="true" hidden="false" outlineLevel="0" max="5132" min="5121" style="1" width="6.11"/>
    <col collapsed="false" customWidth="true" hidden="false" outlineLevel="0" max="5133" min="5133" style="1" width="6.77"/>
    <col collapsed="false" customWidth="true" hidden="false" outlineLevel="0" max="5134" min="5134" style="1" width="7.22"/>
    <col collapsed="false" customWidth="true" hidden="false" outlineLevel="0" max="5135" min="5135" style="1" width="6.33"/>
    <col collapsed="false" customWidth="true" hidden="false" outlineLevel="0" max="5136" min="5136" style="1" width="6.77"/>
    <col collapsed="false" customWidth="true" hidden="false" outlineLevel="0" max="5137" min="5137" style="1" width="6.33"/>
    <col collapsed="false" customWidth="true" hidden="false" outlineLevel="0" max="5138" min="5138" style="1" width="7.11"/>
    <col collapsed="false" customWidth="false" hidden="false" outlineLevel="0" max="5375" min="5139" style="1" width="7.78"/>
    <col collapsed="false" customWidth="true" hidden="false" outlineLevel="0" max="5376" min="5376" style="1" width="16.88"/>
    <col collapsed="false" customWidth="true" hidden="false" outlineLevel="0" max="5388" min="5377" style="1" width="6.11"/>
    <col collapsed="false" customWidth="true" hidden="false" outlineLevel="0" max="5389" min="5389" style="1" width="6.77"/>
    <col collapsed="false" customWidth="true" hidden="false" outlineLevel="0" max="5390" min="5390" style="1" width="7.22"/>
    <col collapsed="false" customWidth="true" hidden="false" outlineLevel="0" max="5391" min="5391" style="1" width="6.33"/>
    <col collapsed="false" customWidth="true" hidden="false" outlineLevel="0" max="5392" min="5392" style="1" width="6.77"/>
    <col collapsed="false" customWidth="true" hidden="false" outlineLevel="0" max="5393" min="5393" style="1" width="6.33"/>
    <col collapsed="false" customWidth="true" hidden="false" outlineLevel="0" max="5394" min="5394" style="1" width="7.11"/>
    <col collapsed="false" customWidth="false" hidden="false" outlineLevel="0" max="5631" min="5395" style="1" width="7.78"/>
    <col collapsed="false" customWidth="true" hidden="false" outlineLevel="0" max="5632" min="5632" style="1" width="16.88"/>
    <col collapsed="false" customWidth="true" hidden="false" outlineLevel="0" max="5644" min="5633" style="1" width="6.11"/>
    <col collapsed="false" customWidth="true" hidden="false" outlineLevel="0" max="5645" min="5645" style="1" width="6.77"/>
    <col collapsed="false" customWidth="true" hidden="false" outlineLevel="0" max="5646" min="5646" style="1" width="7.22"/>
    <col collapsed="false" customWidth="true" hidden="false" outlineLevel="0" max="5647" min="5647" style="1" width="6.33"/>
    <col collapsed="false" customWidth="true" hidden="false" outlineLevel="0" max="5648" min="5648" style="1" width="6.77"/>
    <col collapsed="false" customWidth="true" hidden="false" outlineLevel="0" max="5649" min="5649" style="1" width="6.33"/>
    <col collapsed="false" customWidth="true" hidden="false" outlineLevel="0" max="5650" min="5650" style="1" width="7.11"/>
    <col collapsed="false" customWidth="false" hidden="false" outlineLevel="0" max="5887" min="5651" style="1" width="7.78"/>
    <col collapsed="false" customWidth="true" hidden="false" outlineLevel="0" max="5888" min="5888" style="1" width="16.88"/>
    <col collapsed="false" customWidth="true" hidden="false" outlineLevel="0" max="5900" min="5889" style="1" width="6.11"/>
    <col collapsed="false" customWidth="true" hidden="false" outlineLevel="0" max="5901" min="5901" style="1" width="6.77"/>
    <col collapsed="false" customWidth="true" hidden="false" outlineLevel="0" max="5902" min="5902" style="1" width="7.22"/>
    <col collapsed="false" customWidth="true" hidden="false" outlineLevel="0" max="5903" min="5903" style="1" width="6.33"/>
    <col collapsed="false" customWidth="true" hidden="false" outlineLevel="0" max="5904" min="5904" style="1" width="6.77"/>
    <col collapsed="false" customWidth="true" hidden="false" outlineLevel="0" max="5905" min="5905" style="1" width="6.33"/>
    <col collapsed="false" customWidth="true" hidden="false" outlineLevel="0" max="5906" min="5906" style="1" width="7.11"/>
    <col collapsed="false" customWidth="false" hidden="false" outlineLevel="0" max="6143" min="5907" style="1" width="7.78"/>
    <col collapsed="false" customWidth="true" hidden="false" outlineLevel="0" max="6144" min="6144" style="1" width="16.88"/>
    <col collapsed="false" customWidth="true" hidden="false" outlineLevel="0" max="6156" min="6145" style="1" width="6.11"/>
    <col collapsed="false" customWidth="true" hidden="false" outlineLevel="0" max="6157" min="6157" style="1" width="6.77"/>
    <col collapsed="false" customWidth="true" hidden="false" outlineLevel="0" max="6158" min="6158" style="1" width="7.22"/>
    <col collapsed="false" customWidth="true" hidden="false" outlineLevel="0" max="6159" min="6159" style="1" width="6.33"/>
    <col collapsed="false" customWidth="true" hidden="false" outlineLevel="0" max="6160" min="6160" style="1" width="6.77"/>
    <col collapsed="false" customWidth="true" hidden="false" outlineLevel="0" max="6161" min="6161" style="1" width="6.33"/>
    <col collapsed="false" customWidth="true" hidden="false" outlineLevel="0" max="6162" min="6162" style="1" width="7.11"/>
    <col collapsed="false" customWidth="false" hidden="false" outlineLevel="0" max="6399" min="6163" style="1" width="7.78"/>
    <col collapsed="false" customWidth="true" hidden="false" outlineLevel="0" max="6400" min="6400" style="1" width="16.88"/>
    <col collapsed="false" customWidth="true" hidden="false" outlineLevel="0" max="6412" min="6401" style="1" width="6.11"/>
    <col collapsed="false" customWidth="true" hidden="false" outlineLevel="0" max="6413" min="6413" style="1" width="6.77"/>
    <col collapsed="false" customWidth="true" hidden="false" outlineLevel="0" max="6414" min="6414" style="1" width="7.22"/>
    <col collapsed="false" customWidth="true" hidden="false" outlineLevel="0" max="6415" min="6415" style="1" width="6.33"/>
    <col collapsed="false" customWidth="true" hidden="false" outlineLevel="0" max="6416" min="6416" style="1" width="6.77"/>
    <col collapsed="false" customWidth="true" hidden="false" outlineLevel="0" max="6417" min="6417" style="1" width="6.33"/>
    <col collapsed="false" customWidth="true" hidden="false" outlineLevel="0" max="6418" min="6418" style="1" width="7.11"/>
    <col collapsed="false" customWidth="false" hidden="false" outlineLevel="0" max="6655" min="6419" style="1" width="7.78"/>
    <col collapsed="false" customWidth="true" hidden="false" outlineLevel="0" max="6656" min="6656" style="1" width="16.88"/>
    <col collapsed="false" customWidth="true" hidden="false" outlineLevel="0" max="6668" min="6657" style="1" width="6.11"/>
    <col collapsed="false" customWidth="true" hidden="false" outlineLevel="0" max="6669" min="6669" style="1" width="6.77"/>
    <col collapsed="false" customWidth="true" hidden="false" outlineLevel="0" max="6670" min="6670" style="1" width="7.22"/>
    <col collapsed="false" customWidth="true" hidden="false" outlineLevel="0" max="6671" min="6671" style="1" width="6.33"/>
    <col collapsed="false" customWidth="true" hidden="false" outlineLevel="0" max="6672" min="6672" style="1" width="6.77"/>
    <col collapsed="false" customWidth="true" hidden="false" outlineLevel="0" max="6673" min="6673" style="1" width="6.33"/>
    <col collapsed="false" customWidth="true" hidden="false" outlineLevel="0" max="6674" min="6674" style="1" width="7.11"/>
    <col collapsed="false" customWidth="false" hidden="false" outlineLevel="0" max="6911" min="6675" style="1" width="7.78"/>
    <col collapsed="false" customWidth="true" hidden="false" outlineLevel="0" max="6912" min="6912" style="1" width="16.88"/>
    <col collapsed="false" customWidth="true" hidden="false" outlineLevel="0" max="6924" min="6913" style="1" width="6.11"/>
    <col collapsed="false" customWidth="true" hidden="false" outlineLevel="0" max="6925" min="6925" style="1" width="6.77"/>
    <col collapsed="false" customWidth="true" hidden="false" outlineLevel="0" max="6926" min="6926" style="1" width="7.22"/>
    <col collapsed="false" customWidth="true" hidden="false" outlineLevel="0" max="6927" min="6927" style="1" width="6.33"/>
    <col collapsed="false" customWidth="true" hidden="false" outlineLevel="0" max="6928" min="6928" style="1" width="6.77"/>
    <col collapsed="false" customWidth="true" hidden="false" outlineLevel="0" max="6929" min="6929" style="1" width="6.33"/>
    <col collapsed="false" customWidth="true" hidden="false" outlineLevel="0" max="6930" min="6930" style="1" width="7.11"/>
    <col collapsed="false" customWidth="false" hidden="false" outlineLevel="0" max="7167" min="6931" style="1" width="7.78"/>
    <col collapsed="false" customWidth="true" hidden="false" outlineLevel="0" max="7168" min="7168" style="1" width="16.88"/>
    <col collapsed="false" customWidth="true" hidden="false" outlineLevel="0" max="7180" min="7169" style="1" width="6.11"/>
    <col collapsed="false" customWidth="true" hidden="false" outlineLevel="0" max="7181" min="7181" style="1" width="6.77"/>
    <col collapsed="false" customWidth="true" hidden="false" outlineLevel="0" max="7182" min="7182" style="1" width="7.22"/>
    <col collapsed="false" customWidth="true" hidden="false" outlineLevel="0" max="7183" min="7183" style="1" width="6.33"/>
    <col collapsed="false" customWidth="true" hidden="false" outlineLevel="0" max="7184" min="7184" style="1" width="6.77"/>
    <col collapsed="false" customWidth="true" hidden="false" outlineLevel="0" max="7185" min="7185" style="1" width="6.33"/>
    <col collapsed="false" customWidth="true" hidden="false" outlineLevel="0" max="7186" min="7186" style="1" width="7.11"/>
    <col collapsed="false" customWidth="false" hidden="false" outlineLevel="0" max="7423" min="7187" style="1" width="7.78"/>
    <col collapsed="false" customWidth="true" hidden="false" outlineLevel="0" max="7424" min="7424" style="1" width="16.88"/>
    <col collapsed="false" customWidth="true" hidden="false" outlineLevel="0" max="7436" min="7425" style="1" width="6.11"/>
    <col collapsed="false" customWidth="true" hidden="false" outlineLevel="0" max="7437" min="7437" style="1" width="6.77"/>
    <col collapsed="false" customWidth="true" hidden="false" outlineLevel="0" max="7438" min="7438" style="1" width="7.22"/>
    <col collapsed="false" customWidth="true" hidden="false" outlineLevel="0" max="7439" min="7439" style="1" width="6.33"/>
    <col collapsed="false" customWidth="true" hidden="false" outlineLevel="0" max="7440" min="7440" style="1" width="6.77"/>
    <col collapsed="false" customWidth="true" hidden="false" outlineLevel="0" max="7441" min="7441" style="1" width="6.33"/>
    <col collapsed="false" customWidth="true" hidden="false" outlineLevel="0" max="7442" min="7442" style="1" width="7.11"/>
    <col collapsed="false" customWidth="false" hidden="false" outlineLevel="0" max="7679" min="7443" style="1" width="7.78"/>
    <col collapsed="false" customWidth="true" hidden="false" outlineLevel="0" max="7680" min="7680" style="1" width="16.88"/>
    <col collapsed="false" customWidth="true" hidden="false" outlineLevel="0" max="7692" min="7681" style="1" width="6.11"/>
    <col collapsed="false" customWidth="true" hidden="false" outlineLevel="0" max="7693" min="7693" style="1" width="6.77"/>
    <col collapsed="false" customWidth="true" hidden="false" outlineLevel="0" max="7694" min="7694" style="1" width="7.22"/>
    <col collapsed="false" customWidth="true" hidden="false" outlineLevel="0" max="7695" min="7695" style="1" width="6.33"/>
    <col collapsed="false" customWidth="true" hidden="false" outlineLevel="0" max="7696" min="7696" style="1" width="6.77"/>
    <col collapsed="false" customWidth="true" hidden="false" outlineLevel="0" max="7697" min="7697" style="1" width="6.33"/>
    <col collapsed="false" customWidth="true" hidden="false" outlineLevel="0" max="7698" min="7698" style="1" width="7.11"/>
    <col collapsed="false" customWidth="false" hidden="false" outlineLevel="0" max="7935" min="7699" style="1" width="7.78"/>
    <col collapsed="false" customWidth="true" hidden="false" outlineLevel="0" max="7936" min="7936" style="1" width="16.88"/>
    <col collapsed="false" customWidth="true" hidden="false" outlineLevel="0" max="7948" min="7937" style="1" width="6.11"/>
    <col collapsed="false" customWidth="true" hidden="false" outlineLevel="0" max="7949" min="7949" style="1" width="6.77"/>
    <col collapsed="false" customWidth="true" hidden="false" outlineLevel="0" max="7950" min="7950" style="1" width="7.22"/>
    <col collapsed="false" customWidth="true" hidden="false" outlineLevel="0" max="7951" min="7951" style="1" width="6.33"/>
    <col collapsed="false" customWidth="true" hidden="false" outlineLevel="0" max="7952" min="7952" style="1" width="6.77"/>
    <col collapsed="false" customWidth="true" hidden="false" outlineLevel="0" max="7953" min="7953" style="1" width="6.33"/>
    <col collapsed="false" customWidth="true" hidden="false" outlineLevel="0" max="7954" min="7954" style="1" width="7.11"/>
    <col collapsed="false" customWidth="false" hidden="false" outlineLevel="0" max="8191" min="7955" style="1" width="7.78"/>
    <col collapsed="false" customWidth="true" hidden="false" outlineLevel="0" max="8192" min="8192" style="1" width="16.88"/>
    <col collapsed="false" customWidth="true" hidden="false" outlineLevel="0" max="8204" min="8193" style="1" width="6.11"/>
    <col collapsed="false" customWidth="true" hidden="false" outlineLevel="0" max="8205" min="8205" style="1" width="6.77"/>
    <col collapsed="false" customWidth="true" hidden="false" outlineLevel="0" max="8206" min="8206" style="1" width="7.22"/>
    <col collapsed="false" customWidth="true" hidden="false" outlineLevel="0" max="8207" min="8207" style="1" width="6.33"/>
    <col collapsed="false" customWidth="true" hidden="false" outlineLevel="0" max="8208" min="8208" style="1" width="6.77"/>
    <col collapsed="false" customWidth="true" hidden="false" outlineLevel="0" max="8209" min="8209" style="1" width="6.33"/>
    <col collapsed="false" customWidth="true" hidden="false" outlineLevel="0" max="8210" min="8210" style="1" width="7.11"/>
    <col collapsed="false" customWidth="false" hidden="false" outlineLevel="0" max="8447" min="8211" style="1" width="7.78"/>
    <col collapsed="false" customWidth="true" hidden="false" outlineLevel="0" max="8448" min="8448" style="1" width="16.88"/>
    <col collapsed="false" customWidth="true" hidden="false" outlineLevel="0" max="8460" min="8449" style="1" width="6.11"/>
    <col collapsed="false" customWidth="true" hidden="false" outlineLevel="0" max="8461" min="8461" style="1" width="6.77"/>
    <col collapsed="false" customWidth="true" hidden="false" outlineLevel="0" max="8462" min="8462" style="1" width="7.22"/>
    <col collapsed="false" customWidth="true" hidden="false" outlineLevel="0" max="8463" min="8463" style="1" width="6.33"/>
    <col collapsed="false" customWidth="true" hidden="false" outlineLevel="0" max="8464" min="8464" style="1" width="6.77"/>
    <col collapsed="false" customWidth="true" hidden="false" outlineLevel="0" max="8465" min="8465" style="1" width="6.33"/>
    <col collapsed="false" customWidth="true" hidden="false" outlineLevel="0" max="8466" min="8466" style="1" width="7.11"/>
    <col collapsed="false" customWidth="false" hidden="false" outlineLevel="0" max="8703" min="8467" style="1" width="7.78"/>
    <col collapsed="false" customWidth="true" hidden="false" outlineLevel="0" max="8704" min="8704" style="1" width="16.88"/>
    <col collapsed="false" customWidth="true" hidden="false" outlineLevel="0" max="8716" min="8705" style="1" width="6.11"/>
    <col collapsed="false" customWidth="true" hidden="false" outlineLevel="0" max="8717" min="8717" style="1" width="6.77"/>
    <col collapsed="false" customWidth="true" hidden="false" outlineLevel="0" max="8718" min="8718" style="1" width="7.22"/>
    <col collapsed="false" customWidth="true" hidden="false" outlineLevel="0" max="8719" min="8719" style="1" width="6.33"/>
    <col collapsed="false" customWidth="true" hidden="false" outlineLevel="0" max="8720" min="8720" style="1" width="6.77"/>
    <col collapsed="false" customWidth="true" hidden="false" outlineLevel="0" max="8721" min="8721" style="1" width="6.33"/>
    <col collapsed="false" customWidth="true" hidden="false" outlineLevel="0" max="8722" min="8722" style="1" width="7.11"/>
    <col collapsed="false" customWidth="false" hidden="false" outlineLevel="0" max="8959" min="8723" style="1" width="7.78"/>
    <col collapsed="false" customWidth="true" hidden="false" outlineLevel="0" max="8960" min="8960" style="1" width="16.88"/>
    <col collapsed="false" customWidth="true" hidden="false" outlineLevel="0" max="8972" min="8961" style="1" width="6.11"/>
    <col collapsed="false" customWidth="true" hidden="false" outlineLevel="0" max="8973" min="8973" style="1" width="6.77"/>
    <col collapsed="false" customWidth="true" hidden="false" outlineLevel="0" max="8974" min="8974" style="1" width="7.22"/>
    <col collapsed="false" customWidth="true" hidden="false" outlineLevel="0" max="8975" min="8975" style="1" width="6.33"/>
    <col collapsed="false" customWidth="true" hidden="false" outlineLevel="0" max="8976" min="8976" style="1" width="6.77"/>
    <col collapsed="false" customWidth="true" hidden="false" outlineLevel="0" max="8977" min="8977" style="1" width="6.33"/>
    <col collapsed="false" customWidth="true" hidden="false" outlineLevel="0" max="8978" min="8978" style="1" width="7.11"/>
    <col collapsed="false" customWidth="false" hidden="false" outlineLevel="0" max="9215" min="8979" style="1" width="7.78"/>
    <col collapsed="false" customWidth="true" hidden="false" outlineLevel="0" max="9216" min="9216" style="1" width="16.88"/>
    <col collapsed="false" customWidth="true" hidden="false" outlineLevel="0" max="9228" min="9217" style="1" width="6.11"/>
    <col collapsed="false" customWidth="true" hidden="false" outlineLevel="0" max="9229" min="9229" style="1" width="6.77"/>
    <col collapsed="false" customWidth="true" hidden="false" outlineLevel="0" max="9230" min="9230" style="1" width="7.22"/>
    <col collapsed="false" customWidth="true" hidden="false" outlineLevel="0" max="9231" min="9231" style="1" width="6.33"/>
    <col collapsed="false" customWidth="true" hidden="false" outlineLevel="0" max="9232" min="9232" style="1" width="6.77"/>
    <col collapsed="false" customWidth="true" hidden="false" outlineLevel="0" max="9233" min="9233" style="1" width="6.33"/>
    <col collapsed="false" customWidth="true" hidden="false" outlineLevel="0" max="9234" min="9234" style="1" width="7.11"/>
    <col collapsed="false" customWidth="false" hidden="false" outlineLevel="0" max="9471" min="9235" style="1" width="7.78"/>
    <col collapsed="false" customWidth="true" hidden="false" outlineLevel="0" max="9472" min="9472" style="1" width="16.88"/>
    <col collapsed="false" customWidth="true" hidden="false" outlineLevel="0" max="9484" min="9473" style="1" width="6.11"/>
    <col collapsed="false" customWidth="true" hidden="false" outlineLevel="0" max="9485" min="9485" style="1" width="6.77"/>
    <col collapsed="false" customWidth="true" hidden="false" outlineLevel="0" max="9486" min="9486" style="1" width="7.22"/>
    <col collapsed="false" customWidth="true" hidden="false" outlineLevel="0" max="9487" min="9487" style="1" width="6.33"/>
    <col collapsed="false" customWidth="true" hidden="false" outlineLevel="0" max="9488" min="9488" style="1" width="6.77"/>
    <col collapsed="false" customWidth="true" hidden="false" outlineLevel="0" max="9489" min="9489" style="1" width="6.33"/>
    <col collapsed="false" customWidth="true" hidden="false" outlineLevel="0" max="9490" min="9490" style="1" width="7.11"/>
    <col collapsed="false" customWidth="false" hidden="false" outlineLevel="0" max="9727" min="9491" style="1" width="7.78"/>
    <col collapsed="false" customWidth="true" hidden="false" outlineLevel="0" max="9728" min="9728" style="1" width="16.88"/>
    <col collapsed="false" customWidth="true" hidden="false" outlineLevel="0" max="9740" min="9729" style="1" width="6.11"/>
    <col collapsed="false" customWidth="true" hidden="false" outlineLevel="0" max="9741" min="9741" style="1" width="6.77"/>
    <col collapsed="false" customWidth="true" hidden="false" outlineLevel="0" max="9742" min="9742" style="1" width="7.22"/>
    <col collapsed="false" customWidth="true" hidden="false" outlineLevel="0" max="9743" min="9743" style="1" width="6.33"/>
    <col collapsed="false" customWidth="true" hidden="false" outlineLevel="0" max="9744" min="9744" style="1" width="6.77"/>
    <col collapsed="false" customWidth="true" hidden="false" outlineLevel="0" max="9745" min="9745" style="1" width="6.33"/>
    <col collapsed="false" customWidth="true" hidden="false" outlineLevel="0" max="9746" min="9746" style="1" width="7.11"/>
    <col collapsed="false" customWidth="false" hidden="false" outlineLevel="0" max="9983" min="9747" style="1" width="7.78"/>
    <col collapsed="false" customWidth="true" hidden="false" outlineLevel="0" max="9984" min="9984" style="1" width="16.88"/>
    <col collapsed="false" customWidth="true" hidden="false" outlineLevel="0" max="9996" min="9985" style="1" width="6.11"/>
    <col collapsed="false" customWidth="true" hidden="false" outlineLevel="0" max="9997" min="9997" style="1" width="6.77"/>
    <col collapsed="false" customWidth="true" hidden="false" outlineLevel="0" max="9998" min="9998" style="1" width="7.22"/>
    <col collapsed="false" customWidth="true" hidden="false" outlineLevel="0" max="9999" min="9999" style="1" width="6.33"/>
    <col collapsed="false" customWidth="true" hidden="false" outlineLevel="0" max="10000" min="10000" style="1" width="6.77"/>
    <col collapsed="false" customWidth="true" hidden="false" outlineLevel="0" max="10001" min="10001" style="1" width="6.33"/>
    <col collapsed="false" customWidth="true" hidden="false" outlineLevel="0" max="10002" min="10002" style="1" width="7.11"/>
    <col collapsed="false" customWidth="false" hidden="false" outlineLevel="0" max="10239" min="10003" style="1" width="7.78"/>
    <col collapsed="false" customWidth="true" hidden="false" outlineLevel="0" max="10240" min="10240" style="1" width="16.88"/>
    <col collapsed="false" customWidth="true" hidden="false" outlineLevel="0" max="10252" min="10241" style="1" width="6.11"/>
    <col collapsed="false" customWidth="true" hidden="false" outlineLevel="0" max="10253" min="10253" style="1" width="6.77"/>
    <col collapsed="false" customWidth="true" hidden="false" outlineLevel="0" max="10254" min="10254" style="1" width="7.22"/>
    <col collapsed="false" customWidth="true" hidden="false" outlineLevel="0" max="10255" min="10255" style="1" width="6.33"/>
    <col collapsed="false" customWidth="true" hidden="false" outlineLevel="0" max="10256" min="10256" style="1" width="6.77"/>
    <col collapsed="false" customWidth="true" hidden="false" outlineLevel="0" max="10257" min="10257" style="1" width="6.33"/>
    <col collapsed="false" customWidth="true" hidden="false" outlineLevel="0" max="10258" min="10258" style="1" width="7.11"/>
    <col collapsed="false" customWidth="false" hidden="false" outlineLevel="0" max="10495" min="10259" style="1" width="7.78"/>
    <col collapsed="false" customWidth="true" hidden="false" outlineLevel="0" max="10496" min="10496" style="1" width="16.88"/>
    <col collapsed="false" customWidth="true" hidden="false" outlineLevel="0" max="10508" min="10497" style="1" width="6.11"/>
    <col collapsed="false" customWidth="true" hidden="false" outlineLevel="0" max="10509" min="10509" style="1" width="6.77"/>
    <col collapsed="false" customWidth="true" hidden="false" outlineLevel="0" max="10510" min="10510" style="1" width="7.22"/>
    <col collapsed="false" customWidth="true" hidden="false" outlineLevel="0" max="10511" min="10511" style="1" width="6.33"/>
    <col collapsed="false" customWidth="true" hidden="false" outlineLevel="0" max="10512" min="10512" style="1" width="6.77"/>
    <col collapsed="false" customWidth="true" hidden="false" outlineLevel="0" max="10513" min="10513" style="1" width="6.33"/>
    <col collapsed="false" customWidth="true" hidden="false" outlineLevel="0" max="10514" min="10514" style="1" width="7.11"/>
    <col collapsed="false" customWidth="false" hidden="false" outlineLevel="0" max="10751" min="10515" style="1" width="7.78"/>
    <col collapsed="false" customWidth="true" hidden="false" outlineLevel="0" max="10752" min="10752" style="1" width="16.88"/>
    <col collapsed="false" customWidth="true" hidden="false" outlineLevel="0" max="10764" min="10753" style="1" width="6.11"/>
    <col collapsed="false" customWidth="true" hidden="false" outlineLevel="0" max="10765" min="10765" style="1" width="6.77"/>
    <col collapsed="false" customWidth="true" hidden="false" outlineLevel="0" max="10766" min="10766" style="1" width="7.22"/>
    <col collapsed="false" customWidth="true" hidden="false" outlineLevel="0" max="10767" min="10767" style="1" width="6.33"/>
    <col collapsed="false" customWidth="true" hidden="false" outlineLevel="0" max="10768" min="10768" style="1" width="6.77"/>
    <col collapsed="false" customWidth="true" hidden="false" outlineLevel="0" max="10769" min="10769" style="1" width="6.33"/>
    <col collapsed="false" customWidth="true" hidden="false" outlineLevel="0" max="10770" min="10770" style="1" width="7.11"/>
    <col collapsed="false" customWidth="false" hidden="false" outlineLevel="0" max="11007" min="10771" style="1" width="7.78"/>
    <col collapsed="false" customWidth="true" hidden="false" outlineLevel="0" max="11008" min="11008" style="1" width="16.88"/>
    <col collapsed="false" customWidth="true" hidden="false" outlineLevel="0" max="11020" min="11009" style="1" width="6.11"/>
    <col collapsed="false" customWidth="true" hidden="false" outlineLevel="0" max="11021" min="11021" style="1" width="6.77"/>
    <col collapsed="false" customWidth="true" hidden="false" outlineLevel="0" max="11022" min="11022" style="1" width="7.22"/>
    <col collapsed="false" customWidth="true" hidden="false" outlineLevel="0" max="11023" min="11023" style="1" width="6.33"/>
    <col collapsed="false" customWidth="true" hidden="false" outlineLevel="0" max="11024" min="11024" style="1" width="6.77"/>
    <col collapsed="false" customWidth="true" hidden="false" outlineLevel="0" max="11025" min="11025" style="1" width="6.33"/>
    <col collapsed="false" customWidth="true" hidden="false" outlineLevel="0" max="11026" min="11026" style="1" width="7.11"/>
    <col collapsed="false" customWidth="false" hidden="false" outlineLevel="0" max="11263" min="11027" style="1" width="7.78"/>
    <col collapsed="false" customWidth="true" hidden="false" outlineLevel="0" max="11264" min="11264" style="1" width="16.88"/>
    <col collapsed="false" customWidth="true" hidden="false" outlineLevel="0" max="11276" min="11265" style="1" width="6.11"/>
    <col collapsed="false" customWidth="true" hidden="false" outlineLevel="0" max="11277" min="11277" style="1" width="6.77"/>
    <col collapsed="false" customWidth="true" hidden="false" outlineLevel="0" max="11278" min="11278" style="1" width="7.22"/>
    <col collapsed="false" customWidth="true" hidden="false" outlineLevel="0" max="11279" min="11279" style="1" width="6.33"/>
    <col collapsed="false" customWidth="true" hidden="false" outlineLevel="0" max="11280" min="11280" style="1" width="6.77"/>
    <col collapsed="false" customWidth="true" hidden="false" outlineLevel="0" max="11281" min="11281" style="1" width="6.33"/>
    <col collapsed="false" customWidth="true" hidden="false" outlineLevel="0" max="11282" min="11282" style="1" width="7.11"/>
    <col collapsed="false" customWidth="false" hidden="false" outlineLevel="0" max="11519" min="11283" style="1" width="7.78"/>
    <col collapsed="false" customWidth="true" hidden="false" outlineLevel="0" max="11520" min="11520" style="1" width="16.88"/>
    <col collapsed="false" customWidth="true" hidden="false" outlineLevel="0" max="11532" min="11521" style="1" width="6.11"/>
    <col collapsed="false" customWidth="true" hidden="false" outlineLevel="0" max="11533" min="11533" style="1" width="6.77"/>
    <col collapsed="false" customWidth="true" hidden="false" outlineLevel="0" max="11534" min="11534" style="1" width="7.22"/>
    <col collapsed="false" customWidth="true" hidden="false" outlineLevel="0" max="11535" min="11535" style="1" width="6.33"/>
    <col collapsed="false" customWidth="true" hidden="false" outlineLevel="0" max="11536" min="11536" style="1" width="6.77"/>
    <col collapsed="false" customWidth="true" hidden="false" outlineLevel="0" max="11537" min="11537" style="1" width="6.33"/>
    <col collapsed="false" customWidth="true" hidden="false" outlineLevel="0" max="11538" min="11538" style="1" width="7.11"/>
    <col collapsed="false" customWidth="false" hidden="false" outlineLevel="0" max="11775" min="11539" style="1" width="7.78"/>
    <col collapsed="false" customWidth="true" hidden="false" outlineLevel="0" max="11776" min="11776" style="1" width="16.88"/>
    <col collapsed="false" customWidth="true" hidden="false" outlineLevel="0" max="11788" min="11777" style="1" width="6.11"/>
    <col collapsed="false" customWidth="true" hidden="false" outlineLevel="0" max="11789" min="11789" style="1" width="6.77"/>
    <col collapsed="false" customWidth="true" hidden="false" outlineLevel="0" max="11790" min="11790" style="1" width="7.22"/>
    <col collapsed="false" customWidth="true" hidden="false" outlineLevel="0" max="11791" min="11791" style="1" width="6.33"/>
    <col collapsed="false" customWidth="true" hidden="false" outlineLevel="0" max="11792" min="11792" style="1" width="6.77"/>
    <col collapsed="false" customWidth="true" hidden="false" outlineLevel="0" max="11793" min="11793" style="1" width="6.33"/>
    <col collapsed="false" customWidth="true" hidden="false" outlineLevel="0" max="11794" min="11794" style="1" width="7.11"/>
    <col collapsed="false" customWidth="false" hidden="false" outlineLevel="0" max="12031" min="11795" style="1" width="7.78"/>
    <col collapsed="false" customWidth="true" hidden="false" outlineLevel="0" max="12032" min="12032" style="1" width="16.88"/>
    <col collapsed="false" customWidth="true" hidden="false" outlineLevel="0" max="12044" min="12033" style="1" width="6.11"/>
    <col collapsed="false" customWidth="true" hidden="false" outlineLevel="0" max="12045" min="12045" style="1" width="6.77"/>
    <col collapsed="false" customWidth="true" hidden="false" outlineLevel="0" max="12046" min="12046" style="1" width="7.22"/>
    <col collapsed="false" customWidth="true" hidden="false" outlineLevel="0" max="12047" min="12047" style="1" width="6.33"/>
    <col collapsed="false" customWidth="true" hidden="false" outlineLevel="0" max="12048" min="12048" style="1" width="6.77"/>
    <col collapsed="false" customWidth="true" hidden="false" outlineLevel="0" max="12049" min="12049" style="1" width="6.33"/>
    <col collapsed="false" customWidth="true" hidden="false" outlineLevel="0" max="12050" min="12050" style="1" width="7.11"/>
    <col collapsed="false" customWidth="false" hidden="false" outlineLevel="0" max="12287" min="12051" style="1" width="7.78"/>
    <col collapsed="false" customWidth="true" hidden="false" outlineLevel="0" max="12288" min="12288" style="1" width="16.88"/>
    <col collapsed="false" customWidth="true" hidden="false" outlineLevel="0" max="12300" min="12289" style="1" width="6.11"/>
    <col collapsed="false" customWidth="true" hidden="false" outlineLevel="0" max="12301" min="12301" style="1" width="6.77"/>
    <col collapsed="false" customWidth="true" hidden="false" outlineLevel="0" max="12302" min="12302" style="1" width="7.22"/>
    <col collapsed="false" customWidth="true" hidden="false" outlineLevel="0" max="12303" min="12303" style="1" width="6.33"/>
    <col collapsed="false" customWidth="true" hidden="false" outlineLevel="0" max="12304" min="12304" style="1" width="6.77"/>
    <col collapsed="false" customWidth="true" hidden="false" outlineLevel="0" max="12305" min="12305" style="1" width="6.33"/>
    <col collapsed="false" customWidth="true" hidden="false" outlineLevel="0" max="12306" min="12306" style="1" width="7.11"/>
    <col collapsed="false" customWidth="false" hidden="false" outlineLevel="0" max="12543" min="12307" style="1" width="7.78"/>
    <col collapsed="false" customWidth="true" hidden="false" outlineLevel="0" max="12544" min="12544" style="1" width="16.88"/>
    <col collapsed="false" customWidth="true" hidden="false" outlineLevel="0" max="12556" min="12545" style="1" width="6.11"/>
    <col collapsed="false" customWidth="true" hidden="false" outlineLevel="0" max="12557" min="12557" style="1" width="6.77"/>
    <col collapsed="false" customWidth="true" hidden="false" outlineLevel="0" max="12558" min="12558" style="1" width="7.22"/>
    <col collapsed="false" customWidth="true" hidden="false" outlineLevel="0" max="12559" min="12559" style="1" width="6.33"/>
    <col collapsed="false" customWidth="true" hidden="false" outlineLevel="0" max="12560" min="12560" style="1" width="6.77"/>
    <col collapsed="false" customWidth="true" hidden="false" outlineLevel="0" max="12561" min="12561" style="1" width="6.33"/>
    <col collapsed="false" customWidth="true" hidden="false" outlineLevel="0" max="12562" min="12562" style="1" width="7.11"/>
    <col collapsed="false" customWidth="false" hidden="false" outlineLevel="0" max="12799" min="12563" style="1" width="7.78"/>
    <col collapsed="false" customWidth="true" hidden="false" outlineLevel="0" max="12800" min="12800" style="1" width="16.88"/>
    <col collapsed="false" customWidth="true" hidden="false" outlineLevel="0" max="12812" min="12801" style="1" width="6.11"/>
    <col collapsed="false" customWidth="true" hidden="false" outlineLevel="0" max="12813" min="12813" style="1" width="6.77"/>
    <col collapsed="false" customWidth="true" hidden="false" outlineLevel="0" max="12814" min="12814" style="1" width="7.22"/>
    <col collapsed="false" customWidth="true" hidden="false" outlineLevel="0" max="12815" min="12815" style="1" width="6.33"/>
    <col collapsed="false" customWidth="true" hidden="false" outlineLevel="0" max="12816" min="12816" style="1" width="6.77"/>
    <col collapsed="false" customWidth="true" hidden="false" outlineLevel="0" max="12817" min="12817" style="1" width="6.33"/>
    <col collapsed="false" customWidth="true" hidden="false" outlineLevel="0" max="12818" min="12818" style="1" width="7.11"/>
    <col collapsed="false" customWidth="false" hidden="false" outlineLevel="0" max="13055" min="12819" style="1" width="7.78"/>
    <col collapsed="false" customWidth="true" hidden="false" outlineLevel="0" max="13056" min="13056" style="1" width="16.88"/>
    <col collapsed="false" customWidth="true" hidden="false" outlineLevel="0" max="13068" min="13057" style="1" width="6.11"/>
    <col collapsed="false" customWidth="true" hidden="false" outlineLevel="0" max="13069" min="13069" style="1" width="6.77"/>
    <col collapsed="false" customWidth="true" hidden="false" outlineLevel="0" max="13070" min="13070" style="1" width="7.22"/>
    <col collapsed="false" customWidth="true" hidden="false" outlineLevel="0" max="13071" min="13071" style="1" width="6.33"/>
    <col collapsed="false" customWidth="true" hidden="false" outlineLevel="0" max="13072" min="13072" style="1" width="6.77"/>
    <col collapsed="false" customWidth="true" hidden="false" outlineLevel="0" max="13073" min="13073" style="1" width="6.33"/>
    <col collapsed="false" customWidth="true" hidden="false" outlineLevel="0" max="13074" min="13074" style="1" width="7.11"/>
    <col collapsed="false" customWidth="false" hidden="false" outlineLevel="0" max="13311" min="13075" style="1" width="7.78"/>
    <col collapsed="false" customWidth="true" hidden="false" outlineLevel="0" max="13312" min="13312" style="1" width="16.88"/>
    <col collapsed="false" customWidth="true" hidden="false" outlineLevel="0" max="13324" min="13313" style="1" width="6.11"/>
    <col collapsed="false" customWidth="true" hidden="false" outlineLevel="0" max="13325" min="13325" style="1" width="6.77"/>
    <col collapsed="false" customWidth="true" hidden="false" outlineLevel="0" max="13326" min="13326" style="1" width="7.22"/>
    <col collapsed="false" customWidth="true" hidden="false" outlineLevel="0" max="13327" min="13327" style="1" width="6.33"/>
    <col collapsed="false" customWidth="true" hidden="false" outlineLevel="0" max="13328" min="13328" style="1" width="6.77"/>
    <col collapsed="false" customWidth="true" hidden="false" outlineLevel="0" max="13329" min="13329" style="1" width="6.33"/>
    <col collapsed="false" customWidth="true" hidden="false" outlineLevel="0" max="13330" min="13330" style="1" width="7.11"/>
    <col collapsed="false" customWidth="false" hidden="false" outlineLevel="0" max="13567" min="13331" style="1" width="7.78"/>
    <col collapsed="false" customWidth="true" hidden="false" outlineLevel="0" max="13568" min="13568" style="1" width="16.88"/>
    <col collapsed="false" customWidth="true" hidden="false" outlineLevel="0" max="13580" min="13569" style="1" width="6.11"/>
    <col collapsed="false" customWidth="true" hidden="false" outlineLevel="0" max="13581" min="13581" style="1" width="6.77"/>
    <col collapsed="false" customWidth="true" hidden="false" outlineLevel="0" max="13582" min="13582" style="1" width="7.22"/>
    <col collapsed="false" customWidth="true" hidden="false" outlineLevel="0" max="13583" min="13583" style="1" width="6.33"/>
    <col collapsed="false" customWidth="true" hidden="false" outlineLevel="0" max="13584" min="13584" style="1" width="6.77"/>
    <col collapsed="false" customWidth="true" hidden="false" outlineLevel="0" max="13585" min="13585" style="1" width="6.33"/>
    <col collapsed="false" customWidth="true" hidden="false" outlineLevel="0" max="13586" min="13586" style="1" width="7.11"/>
    <col collapsed="false" customWidth="false" hidden="false" outlineLevel="0" max="13823" min="13587" style="1" width="7.78"/>
    <col collapsed="false" customWidth="true" hidden="false" outlineLevel="0" max="13824" min="13824" style="1" width="16.88"/>
    <col collapsed="false" customWidth="true" hidden="false" outlineLevel="0" max="13836" min="13825" style="1" width="6.11"/>
    <col collapsed="false" customWidth="true" hidden="false" outlineLevel="0" max="13837" min="13837" style="1" width="6.77"/>
    <col collapsed="false" customWidth="true" hidden="false" outlineLevel="0" max="13838" min="13838" style="1" width="7.22"/>
    <col collapsed="false" customWidth="true" hidden="false" outlineLevel="0" max="13839" min="13839" style="1" width="6.33"/>
    <col collapsed="false" customWidth="true" hidden="false" outlineLevel="0" max="13840" min="13840" style="1" width="6.77"/>
    <col collapsed="false" customWidth="true" hidden="false" outlineLevel="0" max="13841" min="13841" style="1" width="6.33"/>
    <col collapsed="false" customWidth="true" hidden="false" outlineLevel="0" max="13842" min="13842" style="1" width="7.11"/>
    <col collapsed="false" customWidth="false" hidden="false" outlineLevel="0" max="14079" min="13843" style="1" width="7.78"/>
    <col collapsed="false" customWidth="true" hidden="false" outlineLevel="0" max="14080" min="14080" style="1" width="16.88"/>
    <col collapsed="false" customWidth="true" hidden="false" outlineLevel="0" max="14092" min="14081" style="1" width="6.11"/>
    <col collapsed="false" customWidth="true" hidden="false" outlineLevel="0" max="14093" min="14093" style="1" width="6.77"/>
    <col collapsed="false" customWidth="true" hidden="false" outlineLevel="0" max="14094" min="14094" style="1" width="7.22"/>
    <col collapsed="false" customWidth="true" hidden="false" outlineLevel="0" max="14095" min="14095" style="1" width="6.33"/>
    <col collapsed="false" customWidth="true" hidden="false" outlineLevel="0" max="14096" min="14096" style="1" width="6.77"/>
    <col collapsed="false" customWidth="true" hidden="false" outlineLevel="0" max="14097" min="14097" style="1" width="6.33"/>
    <col collapsed="false" customWidth="true" hidden="false" outlineLevel="0" max="14098" min="14098" style="1" width="7.11"/>
    <col collapsed="false" customWidth="false" hidden="false" outlineLevel="0" max="14335" min="14099" style="1" width="7.78"/>
    <col collapsed="false" customWidth="true" hidden="false" outlineLevel="0" max="14336" min="14336" style="1" width="16.88"/>
    <col collapsed="false" customWidth="true" hidden="false" outlineLevel="0" max="14348" min="14337" style="1" width="6.11"/>
    <col collapsed="false" customWidth="true" hidden="false" outlineLevel="0" max="14349" min="14349" style="1" width="6.77"/>
    <col collapsed="false" customWidth="true" hidden="false" outlineLevel="0" max="14350" min="14350" style="1" width="7.22"/>
    <col collapsed="false" customWidth="true" hidden="false" outlineLevel="0" max="14351" min="14351" style="1" width="6.33"/>
    <col collapsed="false" customWidth="true" hidden="false" outlineLevel="0" max="14352" min="14352" style="1" width="6.77"/>
    <col collapsed="false" customWidth="true" hidden="false" outlineLevel="0" max="14353" min="14353" style="1" width="6.33"/>
    <col collapsed="false" customWidth="true" hidden="false" outlineLevel="0" max="14354" min="14354" style="1" width="7.11"/>
    <col collapsed="false" customWidth="false" hidden="false" outlineLevel="0" max="14591" min="14355" style="1" width="7.78"/>
    <col collapsed="false" customWidth="true" hidden="false" outlineLevel="0" max="14592" min="14592" style="1" width="16.88"/>
    <col collapsed="false" customWidth="true" hidden="false" outlineLevel="0" max="14604" min="14593" style="1" width="6.11"/>
    <col collapsed="false" customWidth="true" hidden="false" outlineLevel="0" max="14605" min="14605" style="1" width="6.77"/>
    <col collapsed="false" customWidth="true" hidden="false" outlineLevel="0" max="14606" min="14606" style="1" width="7.22"/>
    <col collapsed="false" customWidth="true" hidden="false" outlineLevel="0" max="14607" min="14607" style="1" width="6.33"/>
    <col collapsed="false" customWidth="true" hidden="false" outlineLevel="0" max="14608" min="14608" style="1" width="6.77"/>
    <col collapsed="false" customWidth="true" hidden="false" outlineLevel="0" max="14609" min="14609" style="1" width="6.33"/>
    <col collapsed="false" customWidth="true" hidden="false" outlineLevel="0" max="14610" min="14610" style="1" width="7.11"/>
    <col collapsed="false" customWidth="false" hidden="false" outlineLevel="0" max="14847" min="14611" style="1" width="7.78"/>
    <col collapsed="false" customWidth="true" hidden="false" outlineLevel="0" max="14848" min="14848" style="1" width="16.88"/>
    <col collapsed="false" customWidth="true" hidden="false" outlineLevel="0" max="14860" min="14849" style="1" width="6.11"/>
    <col collapsed="false" customWidth="true" hidden="false" outlineLevel="0" max="14861" min="14861" style="1" width="6.77"/>
    <col collapsed="false" customWidth="true" hidden="false" outlineLevel="0" max="14862" min="14862" style="1" width="7.22"/>
    <col collapsed="false" customWidth="true" hidden="false" outlineLevel="0" max="14863" min="14863" style="1" width="6.33"/>
    <col collapsed="false" customWidth="true" hidden="false" outlineLevel="0" max="14864" min="14864" style="1" width="6.77"/>
    <col collapsed="false" customWidth="true" hidden="false" outlineLevel="0" max="14865" min="14865" style="1" width="6.33"/>
    <col collapsed="false" customWidth="true" hidden="false" outlineLevel="0" max="14866" min="14866" style="1" width="7.11"/>
    <col collapsed="false" customWidth="false" hidden="false" outlineLevel="0" max="15103" min="14867" style="1" width="7.78"/>
    <col collapsed="false" customWidth="true" hidden="false" outlineLevel="0" max="15104" min="15104" style="1" width="16.88"/>
    <col collapsed="false" customWidth="true" hidden="false" outlineLevel="0" max="15116" min="15105" style="1" width="6.11"/>
    <col collapsed="false" customWidth="true" hidden="false" outlineLevel="0" max="15117" min="15117" style="1" width="6.77"/>
    <col collapsed="false" customWidth="true" hidden="false" outlineLevel="0" max="15118" min="15118" style="1" width="7.22"/>
    <col collapsed="false" customWidth="true" hidden="false" outlineLevel="0" max="15119" min="15119" style="1" width="6.33"/>
    <col collapsed="false" customWidth="true" hidden="false" outlineLevel="0" max="15120" min="15120" style="1" width="6.77"/>
    <col collapsed="false" customWidth="true" hidden="false" outlineLevel="0" max="15121" min="15121" style="1" width="6.33"/>
    <col collapsed="false" customWidth="true" hidden="false" outlineLevel="0" max="15122" min="15122" style="1" width="7.11"/>
    <col collapsed="false" customWidth="false" hidden="false" outlineLevel="0" max="15359" min="15123" style="1" width="7.78"/>
    <col collapsed="false" customWidth="true" hidden="false" outlineLevel="0" max="15360" min="15360" style="1" width="16.88"/>
    <col collapsed="false" customWidth="true" hidden="false" outlineLevel="0" max="15372" min="15361" style="1" width="6.11"/>
    <col collapsed="false" customWidth="true" hidden="false" outlineLevel="0" max="15373" min="15373" style="1" width="6.77"/>
    <col collapsed="false" customWidth="true" hidden="false" outlineLevel="0" max="15374" min="15374" style="1" width="7.22"/>
    <col collapsed="false" customWidth="true" hidden="false" outlineLevel="0" max="15375" min="15375" style="1" width="6.33"/>
    <col collapsed="false" customWidth="true" hidden="false" outlineLevel="0" max="15376" min="15376" style="1" width="6.77"/>
    <col collapsed="false" customWidth="true" hidden="false" outlineLevel="0" max="15377" min="15377" style="1" width="6.33"/>
    <col collapsed="false" customWidth="true" hidden="false" outlineLevel="0" max="15378" min="15378" style="1" width="7.11"/>
    <col collapsed="false" customWidth="false" hidden="false" outlineLevel="0" max="15615" min="15379" style="1" width="7.78"/>
    <col collapsed="false" customWidth="true" hidden="false" outlineLevel="0" max="15616" min="15616" style="1" width="16.88"/>
    <col collapsed="false" customWidth="true" hidden="false" outlineLevel="0" max="15628" min="15617" style="1" width="6.11"/>
    <col collapsed="false" customWidth="true" hidden="false" outlineLevel="0" max="15629" min="15629" style="1" width="6.77"/>
    <col collapsed="false" customWidth="true" hidden="false" outlineLevel="0" max="15630" min="15630" style="1" width="7.22"/>
    <col collapsed="false" customWidth="true" hidden="false" outlineLevel="0" max="15631" min="15631" style="1" width="6.33"/>
    <col collapsed="false" customWidth="true" hidden="false" outlineLevel="0" max="15632" min="15632" style="1" width="6.77"/>
    <col collapsed="false" customWidth="true" hidden="false" outlineLevel="0" max="15633" min="15633" style="1" width="6.33"/>
    <col collapsed="false" customWidth="true" hidden="false" outlineLevel="0" max="15634" min="15634" style="1" width="7.11"/>
    <col collapsed="false" customWidth="false" hidden="false" outlineLevel="0" max="15871" min="15635" style="1" width="7.78"/>
    <col collapsed="false" customWidth="true" hidden="false" outlineLevel="0" max="15872" min="15872" style="1" width="16.88"/>
    <col collapsed="false" customWidth="true" hidden="false" outlineLevel="0" max="15884" min="15873" style="1" width="6.11"/>
    <col collapsed="false" customWidth="true" hidden="false" outlineLevel="0" max="15885" min="15885" style="1" width="6.77"/>
    <col collapsed="false" customWidth="true" hidden="false" outlineLevel="0" max="15886" min="15886" style="1" width="7.22"/>
    <col collapsed="false" customWidth="true" hidden="false" outlineLevel="0" max="15887" min="15887" style="1" width="6.33"/>
    <col collapsed="false" customWidth="true" hidden="false" outlineLevel="0" max="15888" min="15888" style="1" width="6.77"/>
    <col collapsed="false" customWidth="true" hidden="false" outlineLevel="0" max="15889" min="15889" style="1" width="6.33"/>
    <col collapsed="false" customWidth="true" hidden="false" outlineLevel="0" max="15890" min="15890" style="1" width="7.11"/>
    <col collapsed="false" customWidth="false" hidden="false" outlineLevel="0" max="16127" min="15891" style="1" width="7.78"/>
    <col collapsed="false" customWidth="true" hidden="false" outlineLevel="0" max="16128" min="16128" style="1" width="16.88"/>
    <col collapsed="false" customWidth="true" hidden="false" outlineLevel="0" max="16140" min="16129" style="1" width="6.11"/>
    <col collapsed="false" customWidth="true" hidden="false" outlineLevel="0" max="16141" min="16141" style="1" width="6.77"/>
    <col collapsed="false" customWidth="true" hidden="false" outlineLevel="0" max="16142" min="16142" style="1" width="7.22"/>
    <col collapsed="false" customWidth="true" hidden="false" outlineLevel="0" max="16143" min="16143" style="1" width="6.33"/>
    <col collapsed="false" customWidth="true" hidden="false" outlineLevel="0" max="16144" min="16144" style="1" width="6.77"/>
    <col collapsed="false" customWidth="true" hidden="false" outlineLevel="0" max="16145" min="16145" style="1" width="6.33"/>
    <col collapsed="false" customWidth="true" hidden="false" outlineLevel="0" max="16146" min="16146" style="1" width="7.11"/>
    <col collapsed="false" customWidth="false" hidden="false" outlineLevel="0" max="16384" min="16147" style="1" width="7.78"/>
  </cols>
  <sheetData>
    <row r="1" s="2" customFormat="true" ht="25.5" hidden="false" customHeight="true" outlineLevel="0" collapsed="false">
      <c r="A1" s="3" t="s">
        <v>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55"/>
    </row>
    <row r="2" customFormat="false" ht="12.75" hidden="false" customHeight="false" outlineLevel="0" collapsed="false">
      <c r="B2" s="5"/>
      <c r="C2" s="5"/>
      <c r="O2" s="5" t="s">
        <v>94</v>
      </c>
    </row>
    <row r="3" customFormat="false" ht="21" hidden="false" customHeight="true" outlineLevel="0" collapsed="false">
      <c r="A3" s="8" t="s">
        <v>95</v>
      </c>
      <c r="B3" s="156" t="s">
        <v>5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</row>
    <row r="4" customFormat="false" ht="15.75" hidden="false" customHeight="true" outlineLevel="0" collapsed="false">
      <c r="A4" s="8"/>
      <c r="B4" s="157" t="s">
        <v>14</v>
      </c>
      <c r="C4" s="157" t="s">
        <v>15</v>
      </c>
      <c r="D4" s="157" t="s">
        <v>16</v>
      </c>
      <c r="E4" s="157" t="s">
        <v>17</v>
      </c>
      <c r="F4" s="157" t="s">
        <v>18</v>
      </c>
      <c r="G4" s="157" t="s">
        <v>19</v>
      </c>
      <c r="H4" s="157" t="s">
        <v>20</v>
      </c>
      <c r="I4" s="157" t="s">
        <v>21</v>
      </c>
      <c r="J4" s="157" t="s">
        <v>22</v>
      </c>
      <c r="K4" s="157" t="s">
        <v>23</v>
      </c>
      <c r="L4" s="157" t="s">
        <v>35</v>
      </c>
      <c r="M4" s="157" t="s">
        <v>36</v>
      </c>
      <c r="N4" s="157" t="s">
        <v>37</v>
      </c>
      <c r="O4" s="158" t="s">
        <v>38</v>
      </c>
    </row>
    <row r="5" s="110" customFormat="true" ht="21.75" hidden="false" customHeight="true" outlineLevel="0" collapsed="false">
      <c r="A5" s="159" t="s">
        <v>96</v>
      </c>
      <c r="B5" s="160" t="n">
        <v>117.1</v>
      </c>
      <c r="C5" s="160" t="n">
        <v>122.1</v>
      </c>
      <c r="D5" s="160" t="n">
        <v>126.8</v>
      </c>
      <c r="E5" s="160" t="n">
        <v>130</v>
      </c>
      <c r="F5" s="160" t="n">
        <v>132.09</v>
      </c>
      <c r="G5" s="160" t="n">
        <v>137.73</v>
      </c>
      <c r="H5" s="160" t="n">
        <v>142.01</v>
      </c>
      <c r="I5" s="160" t="n">
        <v>145.15</v>
      </c>
      <c r="J5" s="160" t="n">
        <v>147.08</v>
      </c>
      <c r="K5" s="160" t="n">
        <v>148.42</v>
      </c>
      <c r="L5" s="160" t="n">
        <v>149.89</v>
      </c>
      <c r="M5" s="161" t="n">
        <v>153.52</v>
      </c>
      <c r="N5" s="160" t="n">
        <v>159.24</v>
      </c>
      <c r="O5" s="162" t="n">
        <v>161.52</v>
      </c>
    </row>
    <row r="6" s="110" customFormat="true" ht="21.75" hidden="false" customHeight="true" outlineLevel="0" collapsed="false">
      <c r="A6" s="159" t="s">
        <v>97</v>
      </c>
      <c r="B6" s="160" t="n">
        <v>711.54</v>
      </c>
      <c r="C6" s="160" t="n">
        <v>741</v>
      </c>
      <c r="D6" s="160" t="n">
        <v>745.16</v>
      </c>
      <c r="E6" s="160" t="n">
        <v>755.36</v>
      </c>
      <c r="F6" s="160" t="n">
        <v>767.88</v>
      </c>
      <c r="G6" s="160" t="n">
        <v>808.6</v>
      </c>
      <c r="H6" s="160" t="n">
        <v>834.41</v>
      </c>
      <c r="I6" s="160" t="n">
        <v>859.36</v>
      </c>
      <c r="J6" s="160" t="n">
        <v>865.42</v>
      </c>
      <c r="K6" s="160" t="n">
        <v>871.82</v>
      </c>
      <c r="L6" s="160" t="n">
        <v>876.59</v>
      </c>
      <c r="M6" s="161" t="n">
        <v>885.36</v>
      </c>
      <c r="N6" s="160" t="n">
        <v>903.64</v>
      </c>
      <c r="O6" s="162" t="n">
        <v>961.56</v>
      </c>
    </row>
    <row r="7" s="110" customFormat="true" ht="21.75" hidden="false" customHeight="true" outlineLevel="0" collapsed="false">
      <c r="A7" s="159" t="s">
        <v>98</v>
      </c>
      <c r="B7" s="160" t="n">
        <v>219.6</v>
      </c>
      <c r="C7" s="160" t="n">
        <v>232.8</v>
      </c>
      <c r="D7" s="160" t="n">
        <v>249.9</v>
      </c>
      <c r="E7" s="160" t="n">
        <v>277.8</v>
      </c>
      <c r="F7" s="160" t="n">
        <v>271.62</v>
      </c>
      <c r="G7" s="160" t="n">
        <v>278.34</v>
      </c>
      <c r="H7" s="160" t="n">
        <v>288.06</v>
      </c>
      <c r="I7" s="160" t="n">
        <v>342.15</v>
      </c>
      <c r="J7" s="160" t="n">
        <v>369.52</v>
      </c>
      <c r="K7" s="160" t="n">
        <v>368.16</v>
      </c>
      <c r="L7" s="160" t="n">
        <v>370.93</v>
      </c>
      <c r="M7" s="161" t="n">
        <v>375.1</v>
      </c>
      <c r="N7" s="160" t="n">
        <v>412.11</v>
      </c>
      <c r="O7" s="162" t="n">
        <v>396.4</v>
      </c>
    </row>
    <row r="8" s="110" customFormat="true" ht="21.75" hidden="false" customHeight="true" outlineLevel="0" collapsed="false">
      <c r="A8" s="163" t="s">
        <v>99</v>
      </c>
      <c r="B8" s="164" t="n">
        <v>4.3</v>
      </c>
      <c r="C8" s="164" t="n">
        <v>5.3</v>
      </c>
      <c r="D8" s="164" t="n">
        <v>6.1</v>
      </c>
      <c r="E8" s="164" t="n">
        <v>6.4</v>
      </c>
      <c r="F8" s="164" t="n">
        <v>10.72</v>
      </c>
      <c r="G8" s="164" t="n">
        <v>12.1</v>
      </c>
      <c r="H8" s="164" t="n">
        <v>12.52</v>
      </c>
      <c r="I8" s="164" t="n">
        <v>13.3</v>
      </c>
      <c r="J8" s="164" t="n">
        <v>14.5</v>
      </c>
      <c r="K8" s="164" t="n">
        <v>16.5</v>
      </c>
      <c r="L8" s="164" t="n">
        <v>15.19</v>
      </c>
      <c r="M8" s="165" t="n">
        <v>15.52</v>
      </c>
      <c r="N8" s="164" t="n">
        <v>17.58</v>
      </c>
      <c r="O8" s="166" t="n">
        <v>21.88</v>
      </c>
    </row>
    <row r="9" customFormat="false" ht="12.75" hidden="false" customHeight="false" outlineLevel="0" collapsed="false">
      <c r="C9" s="167"/>
      <c r="D9" s="167"/>
      <c r="E9" s="167"/>
      <c r="O9" s="5" t="s">
        <v>34</v>
      </c>
    </row>
    <row r="10" customFormat="false" ht="12.75" hidden="false" customHeight="false" outlineLevel="0" collapsed="false">
      <c r="A10" s="168" t="s">
        <v>95</v>
      </c>
      <c r="B10" s="169" t="s">
        <v>5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</row>
    <row r="11" customFormat="false" ht="12.75" hidden="false" customHeight="false" outlineLevel="0" collapsed="false">
      <c r="A11" s="168"/>
      <c r="B11" s="170" t="s">
        <v>39</v>
      </c>
      <c r="C11" s="170" t="s">
        <v>40</v>
      </c>
      <c r="D11" s="170" t="s">
        <v>41</v>
      </c>
      <c r="E11" s="170" t="s">
        <v>42</v>
      </c>
      <c r="F11" s="170" t="s">
        <v>43</v>
      </c>
      <c r="G11" s="170" t="s">
        <v>44</v>
      </c>
      <c r="H11" s="170" t="s">
        <v>45</v>
      </c>
      <c r="I11" s="170" t="s">
        <v>46</v>
      </c>
      <c r="J11" s="170" t="s">
        <v>47</v>
      </c>
      <c r="K11" s="170" t="s">
        <v>48</v>
      </c>
      <c r="L11" s="170" t="s">
        <v>49</v>
      </c>
      <c r="M11" s="170" t="s">
        <v>50</v>
      </c>
      <c r="N11" s="170" t="s">
        <v>51</v>
      </c>
      <c r="O11" s="170" t="s">
        <v>52</v>
      </c>
      <c r="P11" s="170" t="s">
        <v>53</v>
      </c>
      <c r="Q11" s="170" t="s">
        <v>54</v>
      </c>
      <c r="R11" s="170" t="s">
        <v>55</v>
      </c>
      <c r="S11" s="171" t="s">
        <v>56</v>
      </c>
    </row>
    <row r="12" s="110" customFormat="true" ht="21.75" hidden="false" customHeight="true" outlineLevel="0" collapsed="false">
      <c r="A12" s="43" t="s">
        <v>96</v>
      </c>
      <c r="B12" s="85" t="n">
        <v>174.27</v>
      </c>
      <c r="C12" s="85" t="n">
        <v>180.67</v>
      </c>
      <c r="D12" s="85" t="n">
        <v>185.03</v>
      </c>
      <c r="E12" s="85" t="n">
        <v>189.16</v>
      </c>
      <c r="F12" s="85" t="n">
        <v>194.26</v>
      </c>
      <c r="G12" s="85" t="n">
        <v>198.64</v>
      </c>
      <c r="H12" s="85" t="n">
        <v>203.89</v>
      </c>
      <c r="I12" s="85" t="n">
        <v>208.41</v>
      </c>
      <c r="J12" s="172" t="n">
        <v>214.8</v>
      </c>
      <c r="K12" s="172" t="n">
        <v>219.2</v>
      </c>
      <c r="L12" s="172" t="n">
        <v>227.11</v>
      </c>
      <c r="M12" s="172" t="n">
        <v>233.9</v>
      </c>
      <c r="N12" s="173" t="n">
        <v>241.69</v>
      </c>
      <c r="O12" s="85" t="n">
        <v>249</v>
      </c>
      <c r="P12" s="85" t="n">
        <v>277.62</v>
      </c>
      <c r="Q12" s="87" t="n">
        <v>288.5</v>
      </c>
      <c r="R12" s="87" t="n">
        <v>295.5</v>
      </c>
      <c r="S12" s="87" t="n">
        <v>298.244</v>
      </c>
    </row>
    <row r="13" s="110" customFormat="true" ht="21.75" hidden="false" customHeight="true" outlineLevel="0" collapsed="false">
      <c r="A13" s="43" t="s">
        <v>97</v>
      </c>
      <c r="B13" s="85" t="n">
        <v>1012.16</v>
      </c>
      <c r="C13" s="85" t="n">
        <v>1048.04</v>
      </c>
      <c r="D13" s="85" t="n">
        <v>1072.94</v>
      </c>
      <c r="E13" s="85" t="n">
        <v>1097.02</v>
      </c>
      <c r="F13" s="85" t="n">
        <v>1124.13</v>
      </c>
      <c r="G13" s="85" t="n">
        <v>1158.79</v>
      </c>
      <c r="H13" s="85" t="n">
        <v>1195.93</v>
      </c>
      <c r="I13" s="85" t="n">
        <v>1231.85</v>
      </c>
      <c r="J13" s="172" t="n">
        <v>1274.2</v>
      </c>
      <c r="K13" s="172" t="n">
        <v>1312.14</v>
      </c>
      <c r="L13" s="172" t="n">
        <v>1351.39</v>
      </c>
      <c r="M13" s="172" t="n">
        <v>1388.73</v>
      </c>
      <c r="N13" s="173" t="n">
        <v>1445.41</v>
      </c>
      <c r="O13" s="85" t="n">
        <v>1496</v>
      </c>
      <c r="P13" s="85" t="n">
        <v>1556.5</v>
      </c>
      <c r="Q13" s="87" t="n">
        <v>1622.75</v>
      </c>
      <c r="R13" s="87" t="n">
        <v>1681.1</v>
      </c>
      <c r="S13" s="87" t="n">
        <v>170</v>
      </c>
    </row>
    <row r="14" s="110" customFormat="true" ht="21.75" hidden="false" customHeight="true" outlineLevel="0" collapsed="false">
      <c r="A14" s="43" t="s">
        <v>98</v>
      </c>
      <c r="B14" s="85" t="n">
        <v>421.5</v>
      </c>
      <c r="C14" s="85" t="n">
        <v>440.9</v>
      </c>
      <c r="D14" s="85" t="n">
        <v>460.62</v>
      </c>
      <c r="E14" s="85" t="n">
        <v>480.8</v>
      </c>
      <c r="F14" s="85" t="n">
        <v>507.32</v>
      </c>
      <c r="G14" s="85" t="n">
        <v>538.42</v>
      </c>
      <c r="H14" s="85" t="n">
        <v>557.36</v>
      </c>
      <c r="I14" s="85" t="n">
        <v>575.56</v>
      </c>
      <c r="J14" s="172" t="n">
        <v>590.13</v>
      </c>
      <c r="K14" s="172" t="n">
        <v>600.8</v>
      </c>
      <c r="L14" s="172" t="n">
        <v>614.85</v>
      </c>
      <c r="M14" s="172" t="n">
        <v>631.25</v>
      </c>
      <c r="N14" s="173" t="n">
        <v>629.94</v>
      </c>
      <c r="O14" s="85" t="n">
        <v>643.2</v>
      </c>
      <c r="P14" s="85" t="n">
        <v>704.13</v>
      </c>
      <c r="Q14" s="87" t="n">
        <v>787.01</v>
      </c>
      <c r="R14" s="87" t="n">
        <v>838.9</v>
      </c>
      <c r="S14" s="87" t="n">
        <v>872.92</v>
      </c>
    </row>
    <row r="15" s="110" customFormat="true" ht="21.75" hidden="false" customHeight="true" outlineLevel="0" collapsed="false">
      <c r="A15" s="174" t="s">
        <v>99</v>
      </c>
      <c r="B15" s="175" t="n">
        <v>23.2</v>
      </c>
      <c r="C15" s="175" t="n">
        <v>24.86</v>
      </c>
      <c r="D15" s="175" t="n">
        <v>25.75</v>
      </c>
      <c r="E15" s="175" t="n">
        <v>31.72</v>
      </c>
      <c r="F15" s="175" t="n">
        <v>33.27</v>
      </c>
      <c r="G15" s="175" t="n">
        <v>35</v>
      </c>
      <c r="H15" s="175" t="n">
        <v>36.57</v>
      </c>
      <c r="I15" s="175" t="n">
        <v>39.95</v>
      </c>
      <c r="J15" s="176" t="n">
        <v>42.46</v>
      </c>
      <c r="K15" s="176" t="n">
        <v>45.42</v>
      </c>
      <c r="L15" s="176" t="n">
        <v>46.78</v>
      </c>
      <c r="M15" s="176" t="n">
        <v>48.75</v>
      </c>
      <c r="N15" s="177" t="n">
        <v>48.23</v>
      </c>
      <c r="O15" s="175" t="n">
        <v>49.73</v>
      </c>
      <c r="P15" s="175" t="n">
        <v>52.07</v>
      </c>
      <c r="Q15" s="178" t="n">
        <v>54.36</v>
      </c>
      <c r="R15" s="178" t="n">
        <v>53.96</v>
      </c>
      <c r="S15" s="178" t="n">
        <v>65.77</v>
      </c>
    </row>
    <row r="16" customFormat="false" ht="12.75" hidden="false" customHeight="false" outlineLevel="0" collapsed="false">
      <c r="A16" s="1" t="s">
        <v>71</v>
      </c>
    </row>
    <row r="17" customFormat="false" ht="12.75" hidden="false" customHeight="false" outlineLevel="0" collapsed="false">
      <c r="A17" s="1" t="s">
        <v>60</v>
      </c>
    </row>
  </sheetData>
  <mergeCells count="5">
    <mergeCell ref="A1:Q1"/>
    <mergeCell ref="A3:A4"/>
    <mergeCell ref="B3:O3"/>
    <mergeCell ref="A10:A11"/>
    <mergeCell ref="B10:S10"/>
  </mergeCells>
  <printOptions headings="false" gridLines="false" gridLinesSet="true" horizontalCentered="true" verticalCentered="true"/>
  <pageMargins left="0.820138888888889" right="0.759722222222222" top="0.470138888888889" bottom="0.470138888888889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7.78125" defaultRowHeight="15" customHeight="false" zeroHeight="false" outlineLevelRow="0" outlineLevelCol="0"/>
  <cols>
    <col collapsed="false" customWidth="true" hidden="false" outlineLevel="0" max="1" min="1" style="179" width="16.66"/>
    <col collapsed="false" customWidth="true" hidden="false" outlineLevel="0" max="8" min="2" style="179" width="13.56"/>
    <col collapsed="false" customWidth="true" hidden="false" outlineLevel="0" max="11" min="9" style="179" width="9"/>
    <col collapsed="false" customWidth="false" hidden="false" outlineLevel="0" max="16384" min="12" style="179" width="7.78"/>
  </cols>
  <sheetData>
    <row r="1" customFormat="false" ht="31.5" hidden="false" customHeight="true" outlineLevel="0" collapsed="false">
      <c r="A1" s="180" t="s">
        <v>100</v>
      </c>
      <c r="B1" s="180"/>
      <c r="C1" s="180"/>
      <c r="D1" s="180"/>
      <c r="E1" s="180"/>
      <c r="F1" s="180"/>
      <c r="G1" s="180"/>
      <c r="H1" s="180"/>
    </row>
    <row r="2" customFormat="false" ht="15" hidden="false" customHeight="true" outlineLevel="0" collapsed="false">
      <c r="A2" s="181" t="s">
        <v>101</v>
      </c>
      <c r="B2" s="182" t="s">
        <v>5</v>
      </c>
      <c r="C2" s="182"/>
      <c r="D2" s="182"/>
      <c r="E2" s="182"/>
      <c r="F2" s="182"/>
      <c r="G2" s="182"/>
      <c r="H2" s="182"/>
      <c r="I2" s="182"/>
      <c r="J2" s="182"/>
      <c r="K2" s="182"/>
    </row>
    <row r="3" customFormat="false" ht="15" hidden="false" customHeight="false" outlineLevel="0" collapsed="false">
      <c r="A3" s="181"/>
      <c r="B3" s="183" t="s">
        <v>81</v>
      </c>
      <c r="C3" s="183" t="s">
        <v>82</v>
      </c>
      <c r="D3" s="183" t="s">
        <v>83</v>
      </c>
      <c r="E3" s="183" t="s">
        <v>84</v>
      </c>
      <c r="F3" s="183" t="s">
        <v>85</v>
      </c>
      <c r="G3" s="183" t="s">
        <v>86</v>
      </c>
      <c r="H3" s="183" t="s">
        <v>87</v>
      </c>
      <c r="I3" s="183" t="s">
        <v>88</v>
      </c>
      <c r="J3" s="184" t="s">
        <v>89</v>
      </c>
      <c r="K3" s="184" t="s">
        <v>90</v>
      </c>
    </row>
    <row r="4" customFormat="false" ht="15.75" hidden="false" customHeight="true" outlineLevel="0" collapsed="false">
      <c r="A4" s="185" t="s">
        <v>102</v>
      </c>
      <c r="B4" s="186" t="n">
        <v>7241416</v>
      </c>
      <c r="C4" s="186" t="n">
        <v>7302808</v>
      </c>
      <c r="D4" s="186" t="n">
        <v>7347487</v>
      </c>
      <c r="E4" s="186" t="n">
        <v>7377605</v>
      </c>
      <c r="F4" s="187" t="n">
        <v>7385035</v>
      </c>
      <c r="G4" s="187" t="n">
        <v>7458885</v>
      </c>
      <c r="H4" s="187" t="n">
        <v>7466841</v>
      </c>
      <c r="I4" s="188" t="n">
        <v>7413197</v>
      </c>
      <c r="J4" s="189" t="n">
        <v>4750329</v>
      </c>
      <c r="K4" s="190" t="n">
        <v>5198000</v>
      </c>
      <c r="L4" s="191"/>
      <c r="M4" s="191"/>
    </row>
    <row r="5" customFormat="false" ht="16.5" hidden="false" customHeight="true" outlineLevel="0" collapsed="false">
      <c r="A5" s="185"/>
      <c r="B5" s="192" t="s">
        <v>103</v>
      </c>
      <c r="C5" s="192" t="n">
        <v>0.847789990245002</v>
      </c>
      <c r="D5" s="192" t="n">
        <v>0.611805760195256</v>
      </c>
      <c r="E5" s="192" t="n">
        <v>0.409908857273242</v>
      </c>
      <c r="F5" s="192" t="n">
        <v>0.100710189824476</v>
      </c>
      <c r="G5" s="192" t="n">
        <v>0.999995260685968</v>
      </c>
      <c r="H5" s="192" t="n">
        <v>0.106664736083208</v>
      </c>
      <c r="I5" s="192" t="n">
        <f aca="false">(I4-H4)/H4*100</f>
        <v>-0.718429654521906</v>
      </c>
      <c r="J5" s="192" t="n">
        <f aca="false">(J4-I4)/I4*100</f>
        <v>-35.9206426053429</v>
      </c>
      <c r="K5" s="192" t="n">
        <f aca="false">(K4-J4)/J4*100</f>
        <v>9.42399989558618</v>
      </c>
    </row>
    <row r="6" customFormat="false" ht="15.75" hidden="false" customHeight="true" outlineLevel="0" collapsed="false">
      <c r="A6" s="185" t="s">
        <v>104</v>
      </c>
      <c r="B6" s="186" t="n">
        <v>5167733</v>
      </c>
      <c r="C6" s="186" t="n">
        <v>5168809</v>
      </c>
      <c r="D6" s="186" t="n">
        <v>5177998</v>
      </c>
      <c r="E6" s="186" t="n">
        <v>5184166</v>
      </c>
      <c r="F6" s="187" t="n">
        <v>5308664</v>
      </c>
      <c r="G6" s="187" t="n">
        <v>5257591</v>
      </c>
      <c r="H6" s="187" t="n">
        <v>5159931</v>
      </c>
      <c r="I6" s="188" t="n">
        <v>5132931</v>
      </c>
      <c r="J6" s="189" t="n">
        <v>3081062</v>
      </c>
      <c r="K6" s="193" t="n">
        <v>3307000</v>
      </c>
    </row>
    <row r="7" customFormat="false" ht="16.5" hidden="false" customHeight="true" outlineLevel="0" collapsed="false">
      <c r="A7" s="185"/>
      <c r="B7" s="192" t="s">
        <v>105</v>
      </c>
      <c r="C7" s="192" t="n">
        <v>0.0208215091607868</v>
      </c>
      <c r="D7" s="192" t="n">
        <v>0.17777789815797</v>
      </c>
      <c r="E7" s="192" t="n">
        <v>0.119119397110621</v>
      </c>
      <c r="F7" s="192" t="n">
        <v>2.40150489008261</v>
      </c>
      <c r="G7" s="192" t="n">
        <v>-0.962068799230842</v>
      </c>
      <c r="H7" s="192" t="n">
        <v>-1.85750470129761</v>
      </c>
      <c r="I7" s="192" t="n">
        <f aca="false">(I6-H6)/H6*100</f>
        <v>-0.523262811072474</v>
      </c>
      <c r="J7" s="192" t="n">
        <f aca="false">(J6-I6)/I6*100</f>
        <v>-39.9746071006994</v>
      </c>
      <c r="K7" s="192" t="n">
        <f aca="false">(K6-J6)/J6*100</f>
        <v>7.33312085248528</v>
      </c>
    </row>
    <row r="8" customFormat="false" ht="15.75" hidden="false" customHeight="true" outlineLevel="0" collapsed="false">
      <c r="A8" s="185" t="s">
        <v>106</v>
      </c>
      <c r="B8" s="186" t="n">
        <v>789370</v>
      </c>
      <c r="C8" s="186" t="n">
        <v>800658</v>
      </c>
      <c r="D8" s="186" t="n">
        <v>801975</v>
      </c>
      <c r="E8" s="186" t="n">
        <v>802859</v>
      </c>
      <c r="F8" s="187" t="n">
        <v>798889</v>
      </c>
      <c r="G8" s="187" t="n">
        <v>806079</v>
      </c>
      <c r="H8" s="187" t="n">
        <v>793725</v>
      </c>
      <c r="I8" s="188" t="n">
        <v>771205</v>
      </c>
      <c r="J8" s="189" t="n">
        <v>501849</v>
      </c>
      <c r="K8" s="193" t="n">
        <v>633000</v>
      </c>
    </row>
    <row r="9" customFormat="false" ht="16.5" hidden="false" customHeight="true" outlineLevel="0" collapsed="false">
      <c r="A9" s="185"/>
      <c r="B9" s="192" t="s">
        <v>107</v>
      </c>
      <c r="C9" s="192" t="n">
        <v>1.43000114014974</v>
      </c>
      <c r="D9" s="192" t="n">
        <v>0.164489707215815</v>
      </c>
      <c r="E9" s="192" t="n">
        <v>0.110227874933757</v>
      </c>
      <c r="F9" s="192" t="n">
        <v>-0.494482841943604</v>
      </c>
      <c r="G9" s="192" t="n">
        <v>0.899999874826165</v>
      </c>
      <c r="H9" s="192" t="n">
        <v>-1.53260412440964</v>
      </c>
      <c r="I9" s="192" t="n">
        <f aca="false">(I8-H8)/H8*100</f>
        <v>-2.83725471668399</v>
      </c>
      <c r="J9" s="192" t="n">
        <f aca="false">(J8-I8)/I8*100</f>
        <v>-34.9266407764473</v>
      </c>
      <c r="K9" s="192" t="n">
        <f aca="false">(K8-J8)/J8*100</f>
        <v>26.1335581021383</v>
      </c>
    </row>
    <row r="10" customFormat="false" ht="15" hidden="false" customHeight="true" outlineLevel="0" collapsed="false">
      <c r="A10" s="185" t="s">
        <v>108</v>
      </c>
      <c r="B10" s="186" t="n">
        <v>10252236</v>
      </c>
      <c r="C10" s="186" t="n">
        <v>10986114</v>
      </c>
      <c r="D10" s="186" t="n">
        <v>11165099</v>
      </c>
      <c r="E10" s="186" t="n">
        <v>11286973</v>
      </c>
      <c r="F10" s="187" t="n">
        <v>12283752</v>
      </c>
      <c r="G10" s="187" t="n">
        <v>12811953</v>
      </c>
      <c r="H10" s="187" t="n">
        <v>13442614</v>
      </c>
      <c r="I10" s="188" t="n">
        <v>13990703</v>
      </c>
      <c r="J10" s="189" t="n">
        <v>14541244</v>
      </c>
      <c r="K10" s="193" t="n">
        <v>15290000</v>
      </c>
    </row>
    <row r="11" customFormat="false" ht="15" hidden="false" customHeight="false" outlineLevel="0" collapsed="false">
      <c r="A11" s="185"/>
      <c r="B11" s="192" t="s">
        <v>109</v>
      </c>
      <c r="C11" s="192" t="n">
        <v>7.15822382551475</v>
      </c>
      <c r="D11" s="192" t="n">
        <v>1.62919299763319</v>
      </c>
      <c r="E11" s="192" t="n">
        <v>1.09156219752283</v>
      </c>
      <c r="F11" s="192" t="n">
        <v>8.83123402527852</v>
      </c>
      <c r="G11" s="192" t="n">
        <v>4.29999726467939</v>
      </c>
      <c r="H11" s="192" t="n">
        <v>4.92244234739231</v>
      </c>
      <c r="I11" s="192" t="n">
        <f aca="false">(I10-H10)/H10*100</f>
        <v>4.07725015387632</v>
      </c>
      <c r="J11" s="192" t="n">
        <f aca="false">(J10-I10)/I10*100</f>
        <v>3.93504886780886</v>
      </c>
      <c r="K11" s="192" t="n">
        <f aca="false">(K10-J10)/J10*100</f>
        <v>5.14918806121402</v>
      </c>
    </row>
    <row r="12" customFormat="false" ht="15" hidden="false" customHeight="true" outlineLevel="0" collapsed="false">
      <c r="A12" s="185" t="s">
        <v>110</v>
      </c>
      <c r="B12" s="186" t="n">
        <v>1198001</v>
      </c>
      <c r="C12" s="186" t="n">
        <v>1291308</v>
      </c>
      <c r="D12" s="186" t="n">
        <v>1328036</v>
      </c>
      <c r="E12" s="186" t="n">
        <v>1353344</v>
      </c>
      <c r="F12" s="187" t="n">
        <v>1488338</v>
      </c>
      <c r="G12" s="187" t="n">
        <v>1519593</v>
      </c>
      <c r="H12" s="187" t="n">
        <v>1588838</v>
      </c>
      <c r="I12" s="188" t="n">
        <v>1504624</v>
      </c>
      <c r="J12" s="189" t="n">
        <v>1357507</v>
      </c>
      <c r="K12" s="193" t="n">
        <v>1497000</v>
      </c>
    </row>
    <row r="13" customFormat="false" ht="15" hidden="false" customHeight="false" outlineLevel="0" collapsed="false">
      <c r="A13" s="185"/>
      <c r="B13" s="186" t="n">
        <v>0.7</v>
      </c>
      <c r="C13" s="186" t="n">
        <v>7.8</v>
      </c>
      <c r="D13" s="186" t="n">
        <v>2.84424784791854</v>
      </c>
      <c r="E13" s="186" t="n">
        <v>1.9</v>
      </c>
      <c r="F13" s="192" t="n">
        <v>9.97484748888679</v>
      </c>
      <c r="G13" s="192" t="n">
        <v>2.09999341547417</v>
      </c>
      <c r="H13" s="192" t="n">
        <v>4.55681225170161</v>
      </c>
      <c r="I13" s="192" t="n">
        <f aca="false">(I12-H12)/H12*100</f>
        <v>-5.30035157769389</v>
      </c>
      <c r="J13" s="192" t="n">
        <f aca="false">(J12-I12)/I12*100</f>
        <v>-9.77765873733238</v>
      </c>
      <c r="K13" s="192" t="n">
        <f aca="false">(K12-J12)/J12*100</f>
        <v>10.2756744532441</v>
      </c>
    </row>
    <row r="14" customFormat="false" ht="15.75" hidden="false" customHeight="true" outlineLevel="0" collapsed="false">
      <c r="A14" s="185" t="s">
        <v>111</v>
      </c>
      <c r="B14" s="186" t="n">
        <v>48429016</v>
      </c>
      <c r="C14" s="186" t="n">
        <v>68630638</v>
      </c>
      <c r="D14" s="186" t="n">
        <v>70007151</v>
      </c>
      <c r="E14" s="186" t="n">
        <v>70947912</v>
      </c>
      <c r="F14" s="187" t="n">
        <v>75709330</v>
      </c>
      <c r="G14" s="187" t="n">
        <v>82598879</v>
      </c>
      <c r="H14" s="187" t="n">
        <v>73418077</v>
      </c>
      <c r="I14" s="188" t="n">
        <v>66803117</v>
      </c>
      <c r="J14" s="189" t="n">
        <v>65205250</v>
      </c>
      <c r="K14" s="193" t="n">
        <v>56917000</v>
      </c>
    </row>
    <row r="15" customFormat="false" ht="16.5" hidden="false" customHeight="true" outlineLevel="0" collapsed="false">
      <c r="A15" s="185"/>
      <c r="B15" s="192" t="n">
        <v>0.7</v>
      </c>
      <c r="C15" s="192" t="n">
        <v>41.7138807858495</v>
      </c>
      <c r="D15" s="192" t="n">
        <v>2.00568294294452</v>
      </c>
      <c r="E15" s="192" t="n">
        <v>1.34380700622998</v>
      </c>
      <c r="F15" s="192" t="n">
        <v>6.71114605881566</v>
      </c>
      <c r="G15" s="192" t="n">
        <v>9.09999996037477</v>
      </c>
      <c r="H15" s="192" t="n">
        <v>-11.1149232424813</v>
      </c>
      <c r="I15" s="192" t="n">
        <f aca="false">(I14-H14)/H14*100</f>
        <v>-9.00998809870763</v>
      </c>
      <c r="J15" s="192" t="n">
        <f aca="false">(J14-I14)/I14*100</f>
        <v>-2.39190485677487</v>
      </c>
      <c r="K15" s="192" t="n">
        <f aca="false">(K14-J14)/J14*100</f>
        <v>-12.7110163675471</v>
      </c>
    </row>
    <row r="16" customFormat="false" ht="15.75" hidden="false" customHeight="true" outlineLevel="0" collapsed="false">
      <c r="A16" s="185" t="s">
        <v>112</v>
      </c>
      <c r="B16" s="186" t="n">
        <v>390281</v>
      </c>
      <c r="C16" s="186" t="n">
        <v>392255</v>
      </c>
      <c r="D16" s="186" t="n">
        <v>394775</v>
      </c>
      <c r="E16" s="186" t="n">
        <v>396474</v>
      </c>
      <c r="F16" s="187" t="n">
        <v>416400</v>
      </c>
      <c r="G16" s="187" t="n">
        <v>427226</v>
      </c>
      <c r="H16" s="187" t="n">
        <v>432226</v>
      </c>
      <c r="I16" s="188" t="n">
        <v>605944</v>
      </c>
      <c r="J16" s="189" t="n">
        <v>1325999</v>
      </c>
      <c r="K16" s="193" t="n">
        <v>797000</v>
      </c>
    </row>
    <row r="17" customFormat="false" ht="16.5" hidden="false" customHeight="true" outlineLevel="0" collapsed="false">
      <c r="A17" s="185"/>
      <c r="B17" s="192" t="n">
        <v>0.02</v>
      </c>
      <c r="C17" s="192" t="n">
        <v>0.505789418393414</v>
      </c>
      <c r="D17" s="192" t="n">
        <v>0.642439229582797</v>
      </c>
      <c r="E17" s="192" t="n">
        <v>0.430371730732696</v>
      </c>
      <c r="F17" s="192" t="n">
        <v>5.02580244858427</v>
      </c>
      <c r="G17" s="192" t="n">
        <v>2.59990393852065</v>
      </c>
      <c r="H17" s="192" t="n">
        <v>1.17034075641464</v>
      </c>
      <c r="I17" s="192" t="n">
        <f aca="false">(I16-H16)/H16*100</f>
        <v>40.1914739048553</v>
      </c>
      <c r="J17" s="192" t="n">
        <f aca="false">(J16-I16)/I16*100</f>
        <v>118.831938264922</v>
      </c>
      <c r="K17" s="192" t="n">
        <f aca="false">(K16-J16)/J16*100</f>
        <v>-39.8943739776576</v>
      </c>
    </row>
    <row r="18" customFormat="false" ht="15" hidden="false" customHeight="true" outlineLevel="0" collapsed="false">
      <c r="A18" s="185" t="s">
        <v>113</v>
      </c>
      <c r="B18" s="186" t="n">
        <v>1025941</v>
      </c>
      <c r="C18" s="186" t="n">
        <v>1026135</v>
      </c>
      <c r="D18" s="186" t="n">
        <v>1029529</v>
      </c>
      <c r="E18" s="186" t="n">
        <v>1031811</v>
      </c>
      <c r="F18" s="187" t="n">
        <v>1078775</v>
      </c>
      <c r="G18" s="187" t="n">
        <v>1166156</v>
      </c>
      <c r="H18" s="187" t="n">
        <v>1209040.6648904</v>
      </c>
      <c r="I18" s="188" t="n">
        <v>1223061</v>
      </c>
      <c r="J18" s="189" t="n">
        <v>916579</v>
      </c>
      <c r="K18" s="193" t="n">
        <v>1063000</v>
      </c>
    </row>
    <row r="19" customFormat="false" ht="15" hidden="false" customHeight="false" outlineLevel="0" collapsed="false">
      <c r="A19" s="185"/>
      <c r="B19" s="192" t="n">
        <v>0.1</v>
      </c>
      <c r="C19" s="192" t="n">
        <v>0.0189094694529218</v>
      </c>
      <c r="D19" s="192" t="n">
        <v>0.330755699786091</v>
      </c>
      <c r="E19" s="192" t="n">
        <v>0.22165475668971</v>
      </c>
      <c r="F19" s="192" t="n">
        <v>4.55160877331217</v>
      </c>
      <c r="G19" s="192" t="n">
        <v>8.10002085699057</v>
      </c>
      <c r="H19" s="192" t="n">
        <v>3.67743808636274</v>
      </c>
      <c r="I19" s="192" t="n">
        <f aca="false">(I18-H18)/H18*100</f>
        <v>1.15962477662991</v>
      </c>
      <c r="J19" s="192" t="n">
        <f aca="false">(J18-I18)/I18*100</f>
        <v>-25.0586029642021</v>
      </c>
      <c r="K19" s="192" t="n">
        <f aca="false">(K18-J18)/J18*100</f>
        <v>15.9747277648735</v>
      </c>
    </row>
    <row r="20" customFormat="false" ht="15.75" hidden="false" customHeight="true" outlineLevel="0" collapsed="false">
      <c r="A20" s="185" t="s">
        <v>114</v>
      </c>
      <c r="B20" s="186" t="n">
        <v>1349124</v>
      </c>
      <c r="C20" s="186" t="n">
        <v>1355384</v>
      </c>
      <c r="D20" s="186" t="n">
        <v>1509511.7</v>
      </c>
      <c r="E20" s="186" t="n">
        <v>1624520</v>
      </c>
      <c r="F20" s="187" t="n">
        <v>1560584</v>
      </c>
      <c r="G20" s="187" t="n">
        <v>1635492</v>
      </c>
      <c r="H20" s="187" t="n">
        <v>1630642.12386225</v>
      </c>
      <c r="I20" s="188" t="n">
        <v>1666827</v>
      </c>
      <c r="J20" s="189" t="n">
        <v>851272</v>
      </c>
      <c r="K20" s="193" t="n">
        <v>959000</v>
      </c>
    </row>
    <row r="21" customFormat="false" ht="16.5" hidden="false" customHeight="true" outlineLevel="0" collapsed="false">
      <c r="A21" s="185"/>
      <c r="B21" s="192" t="n">
        <v>26.1</v>
      </c>
      <c r="C21" s="192" t="n">
        <v>0.464004791257142</v>
      </c>
      <c r="D21" s="192" t="n">
        <v>11.3715153786676</v>
      </c>
      <c r="E21" s="192" t="n">
        <v>7.61890749174054</v>
      </c>
      <c r="F21" s="192" t="n">
        <v>-3.9356856179056</v>
      </c>
      <c r="G21" s="192" t="n">
        <v>4.79999794948558</v>
      </c>
      <c r="H21" s="192" t="n">
        <v>-0.296539276117053</v>
      </c>
      <c r="I21" s="192" t="n">
        <f aca="false">(I20-H20)/H20*100</f>
        <v>2.21905687386785</v>
      </c>
      <c r="J21" s="192" t="n">
        <f aca="false">(J20-I20)/I20*100</f>
        <v>-48.9285930693467</v>
      </c>
      <c r="K21" s="192" t="n">
        <f aca="false">(K20-J20)/J20*100</f>
        <v>12.6549446005507</v>
      </c>
    </row>
    <row r="22" customFormat="false" ht="15" hidden="false" customHeight="true" outlineLevel="0" collapsed="false">
      <c r="A22" s="185" t="s">
        <v>115</v>
      </c>
      <c r="B22" s="186" t="n">
        <v>8412728</v>
      </c>
      <c r="C22" s="186" t="n">
        <v>12353515</v>
      </c>
      <c r="D22" s="186" t="n">
        <v>12388889</v>
      </c>
      <c r="E22" s="186" t="n">
        <v>12412657</v>
      </c>
      <c r="F22" s="187" t="n">
        <v>12526979</v>
      </c>
      <c r="G22" s="187" t="n">
        <v>12927842</v>
      </c>
      <c r="H22" s="187" t="n">
        <v>11374011.2240877</v>
      </c>
      <c r="I22" s="188" t="n">
        <v>10131642</v>
      </c>
      <c r="J22" s="189" t="n">
        <v>12725053</v>
      </c>
      <c r="K22" s="194" t="n">
        <v>13487000</v>
      </c>
    </row>
    <row r="23" customFormat="false" ht="15" hidden="false" customHeight="false" outlineLevel="0" collapsed="false">
      <c r="A23" s="185"/>
      <c r="B23" s="192" t="n">
        <v>0.8</v>
      </c>
      <c r="C23" s="192" t="n">
        <v>46.8431524233281</v>
      </c>
      <c r="D23" s="192" t="n">
        <v>0.28634765085079</v>
      </c>
      <c r="E23" s="192" t="n">
        <v>0.191849325633638</v>
      </c>
      <c r="F23" s="192" t="n">
        <v>0.92101151268419</v>
      </c>
      <c r="G23" s="192" t="n">
        <v>3.19999738165123</v>
      </c>
      <c r="H23" s="192" t="n">
        <v>-12.0192587124157</v>
      </c>
      <c r="I23" s="192" t="n">
        <f aca="false">(I22-H22)/H22*100</f>
        <v>-10.9228767196627</v>
      </c>
      <c r="J23" s="192" t="n">
        <f aca="false">(J22-I22)/I22*100</f>
        <v>25.5971440759553</v>
      </c>
      <c r="K23" s="192" t="n">
        <f aca="false">(K22-J22)/J22*100</f>
        <v>5.98777073855803</v>
      </c>
    </row>
    <row r="24" customFormat="false" ht="15.75" hidden="false" customHeight="true" outlineLevel="0" collapsed="false">
      <c r="A24" s="185" t="s">
        <v>116</v>
      </c>
      <c r="B24" s="186" t="n">
        <v>179480</v>
      </c>
      <c r="C24" s="186" t="n">
        <v>180927</v>
      </c>
      <c r="D24" s="186" t="n">
        <v>183940</v>
      </c>
      <c r="E24" s="186" t="n">
        <v>185992</v>
      </c>
      <c r="F24" s="187" t="n">
        <v>190747</v>
      </c>
      <c r="G24" s="187" t="n">
        <v>191701</v>
      </c>
      <c r="H24" s="187" t="n">
        <v>220532.111387755</v>
      </c>
      <c r="I24" s="188" t="n">
        <v>302473</v>
      </c>
      <c r="J24" s="189" t="n">
        <v>661938</v>
      </c>
      <c r="K24" s="194" t="n">
        <v>444000</v>
      </c>
    </row>
    <row r="25" customFormat="false" ht="16.5" hidden="false" customHeight="true" outlineLevel="0" collapsed="false">
      <c r="A25" s="185"/>
      <c r="B25" s="192" t="n">
        <v>0.02</v>
      </c>
      <c r="C25" s="192" t="n">
        <v>0.806217963004234</v>
      </c>
      <c r="D25" s="192" t="n">
        <v>1.66531252936267</v>
      </c>
      <c r="E25" s="192" t="n">
        <v>1.1155811677721</v>
      </c>
      <c r="F25" s="192" t="n">
        <v>2.55656157254075</v>
      </c>
      <c r="G25" s="192" t="n">
        <v>0.500138927479855</v>
      </c>
      <c r="H25" s="192" t="n">
        <v>15.039624930363</v>
      </c>
      <c r="I25" s="192" t="n">
        <f aca="false">(I24-H24)/H24*100</f>
        <v>37.1559897089866</v>
      </c>
      <c r="J25" s="192" t="n">
        <f aca="false">(J24-I24)/I24*100</f>
        <v>118.842012344904</v>
      </c>
      <c r="K25" s="192" t="n">
        <f aca="false">(K24-J24)/J24*100</f>
        <v>-32.9242315745583</v>
      </c>
    </row>
    <row r="26" customFormat="false" ht="15.75" hidden="false" customHeight="true" outlineLevel="0" collapsed="false">
      <c r="A26" s="185" t="s">
        <v>117</v>
      </c>
      <c r="B26" s="186" t="n">
        <v>70966</v>
      </c>
      <c r="C26" s="186" t="n">
        <v>68831</v>
      </c>
      <c r="D26" s="186" t="n">
        <v>69346</v>
      </c>
      <c r="E26" s="186" t="n">
        <v>71690</v>
      </c>
      <c r="F26" s="187" t="n">
        <v>69587.51</v>
      </c>
      <c r="G26" s="187" t="n">
        <v>70005</v>
      </c>
      <c r="H26" s="187" t="n">
        <v>65406</v>
      </c>
      <c r="I26" s="188" t="n">
        <v>62561</v>
      </c>
      <c r="J26" s="189" t="n">
        <v>53195</v>
      </c>
      <c r="K26" s="194" t="n">
        <v>71900</v>
      </c>
    </row>
    <row r="27" customFormat="false" ht="16.5" hidden="false" customHeight="true" outlineLevel="0" collapsed="false">
      <c r="A27" s="185"/>
      <c r="B27" s="192" t="n">
        <v>0.5</v>
      </c>
      <c r="C27" s="192" t="n">
        <v>-3.00848293549024</v>
      </c>
      <c r="D27" s="192" t="n">
        <v>0.748209382400372</v>
      </c>
      <c r="E27" s="192" t="n">
        <v>3.38015170305425</v>
      </c>
      <c r="F27" s="192" t="n">
        <v>-2.93275212721438</v>
      </c>
      <c r="G27" s="192" t="n">
        <v>0.599949617395407</v>
      </c>
      <c r="H27" s="192" t="n">
        <v>-6.56953074780373</v>
      </c>
      <c r="I27" s="192" t="n">
        <f aca="false">(I26-H26)/H26*100</f>
        <v>-4.34975384521298</v>
      </c>
      <c r="J27" s="192" t="n">
        <f aca="false">(J26-I26)/I26*100</f>
        <v>-14.9709883154042</v>
      </c>
      <c r="K27" s="192" t="n">
        <f aca="false">(K26-J26)/J26*100</f>
        <v>35.1630792367704</v>
      </c>
    </row>
    <row r="28" customFormat="false" ht="15.75" hidden="false" customHeight="true" outlineLevel="0" collapsed="false">
      <c r="A28" s="185" t="s">
        <v>118</v>
      </c>
      <c r="B28" s="186" t="n">
        <v>25871</v>
      </c>
      <c r="C28" s="186" t="n">
        <v>32213</v>
      </c>
      <c r="D28" s="186" t="n">
        <v>34487</v>
      </c>
      <c r="E28" s="186" t="n">
        <v>34487</v>
      </c>
      <c r="F28" s="187" t="n">
        <v>34644.7325</v>
      </c>
      <c r="G28" s="187" t="n">
        <v>34610</v>
      </c>
      <c r="H28" s="187" t="n">
        <v>44531</v>
      </c>
      <c r="I28" s="188" t="n">
        <v>43236</v>
      </c>
      <c r="J28" s="189" t="n">
        <v>43000</v>
      </c>
      <c r="K28" s="194" t="n">
        <v>39900</v>
      </c>
    </row>
    <row r="29" customFormat="false" ht="16.5" hidden="false" customHeight="true" outlineLevel="0" collapsed="false">
      <c r="A29" s="185"/>
      <c r="B29" s="192" t="n">
        <v>1.7</v>
      </c>
      <c r="C29" s="192" t="n">
        <v>24.5139345212787</v>
      </c>
      <c r="D29" s="192" t="n">
        <v>7.05926178871884</v>
      </c>
      <c r="E29" s="192" t="n">
        <v>0</v>
      </c>
      <c r="F29" s="192" t="n">
        <v>0.457367993736765</v>
      </c>
      <c r="G29" s="192" t="n">
        <v>-0.100253335770447</v>
      </c>
      <c r="H29" s="192" t="n">
        <v>28.6651256862179</v>
      </c>
      <c r="I29" s="192" t="n">
        <f aca="false">(I28-H28)/H28*100</f>
        <v>-2.90808650153825</v>
      </c>
      <c r="J29" s="192" t="n">
        <f aca="false">(J28-I28)/I28*100</f>
        <v>-0.545841428439264</v>
      </c>
      <c r="K29" s="192" t="n">
        <f aca="false">(K28-J28)/J28*100</f>
        <v>-7.2093023255814</v>
      </c>
    </row>
    <row r="30" customFormat="false" ht="15.75" hidden="false" customHeight="true" outlineLevel="0" collapsed="false">
      <c r="A30" s="185" t="s">
        <v>119</v>
      </c>
      <c r="B30" s="186" t="n">
        <v>52655</v>
      </c>
      <c r="C30" s="186" t="n">
        <v>55808</v>
      </c>
      <c r="D30" s="186" t="n">
        <v>68711</v>
      </c>
      <c r="E30" s="186" t="n">
        <v>68711</v>
      </c>
      <c r="F30" s="187" t="n">
        <v>59821.777</v>
      </c>
      <c r="G30" s="187" t="n">
        <v>59762</v>
      </c>
      <c r="H30" s="187" t="n">
        <v>54864</v>
      </c>
      <c r="I30" s="188" t="n">
        <v>54248</v>
      </c>
      <c r="J30" s="189" t="n">
        <v>17332</v>
      </c>
      <c r="K30" s="194" t="n">
        <v>39900</v>
      </c>
    </row>
    <row r="31" customFormat="false" ht="16.5" hidden="false" customHeight="true" outlineLevel="0" collapsed="false">
      <c r="A31" s="185"/>
      <c r="B31" s="192" t="n">
        <v>0.2</v>
      </c>
      <c r="C31" s="192" t="n">
        <v>5.9880353242807</v>
      </c>
      <c r="D31" s="192" t="n">
        <v>23.1203411697248</v>
      </c>
      <c r="E31" s="192" t="n">
        <v>0</v>
      </c>
      <c r="F31" s="192" t="n">
        <v>-12.9371177831788</v>
      </c>
      <c r="G31" s="192" t="n">
        <v>-0.0999251493314794</v>
      </c>
      <c r="H31" s="192" t="n">
        <v>-8.19584351259998</v>
      </c>
      <c r="I31" s="192" t="n">
        <f aca="false">(I30-H30)/H30*100</f>
        <v>-1.12277631962671</v>
      </c>
      <c r="J31" s="192" t="n">
        <f aca="false">(J30-I30)/I30*100</f>
        <v>-68.0504350390798</v>
      </c>
      <c r="K31" s="192" t="n">
        <f aca="false">(K30-J30)/J30*100</f>
        <v>130.210016155089</v>
      </c>
    </row>
    <row r="32" customFormat="false" ht="15" hidden="false" customHeight="false" outlineLevel="0" collapsed="false">
      <c r="A32" s="195" t="s">
        <v>120</v>
      </c>
      <c r="B32" s="195"/>
      <c r="C32" s="195"/>
      <c r="D32" s="195"/>
      <c r="E32" s="195"/>
      <c r="F32" s="195"/>
      <c r="G32" s="195"/>
      <c r="H32" s="195"/>
    </row>
    <row r="33" customFormat="false" ht="15" hidden="false" customHeight="false" outlineLevel="0" collapsed="false">
      <c r="A33" s="196" t="s">
        <v>121</v>
      </c>
      <c r="B33" s="196"/>
      <c r="C33" s="196"/>
      <c r="D33" s="196"/>
      <c r="E33" s="196"/>
      <c r="F33" s="196"/>
      <c r="G33" s="196"/>
      <c r="H33" s="196"/>
    </row>
  </sheetData>
  <mergeCells count="19">
    <mergeCell ref="A1:H1"/>
    <mergeCell ref="A2:A3"/>
    <mergeCell ref="B2:K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H32"/>
    <mergeCell ref="A33:H33"/>
  </mergeCells>
  <printOptions headings="false" gridLines="false" gridLinesSet="true" horizontalCentered="true" verticalCentered="false"/>
  <pageMargins left="0.9" right="0.9" top="0.8" bottom="1.2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L20" activePane="bottomRight" state="frozen"/>
      <selection pane="topLeft" activeCell="A1" activeCellId="0" sqref="A1"/>
      <selection pane="topRight" activeCell="L1" activeCellId="0" sqref="L1"/>
      <selection pane="bottomLeft" activeCell="A20" activeCellId="0" sqref="A20"/>
      <selection pane="bottomRight" activeCell="AC23" activeCellId="0" sqref="AC23"/>
    </sheetView>
  </sheetViews>
  <sheetFormatPr defaultColWidth="7.78125" defaultRowHeight="15" customHeight="false" zeroHeight="false" outlineLevelRow="0" outlineLevelCol="0"/>
  <cols>
    <col collapsed="false" customWidth="true" hidden="false" outlineLevel="0" max="1" min="1" style="179" width="10.33"/>
    <col collapsed="false" customWidth="false" hidden="false" outlineLevel="0" max="2" min="2" style="179" width="7.78"/>
    <col collapsed="false" customWidth="true" hidden="false" outlineLevel="0" max="3" min="3" style="179" width="10.11"/>
    <col collapsed="false" customWidth="true" hidden="false" outlineLevel="0" max="4" min="4" style="179" width="8.33"/>
    <col collapsed="false" customWidth="false" hidden="false" outlineLevel="0" max="5" min="5" style="179" width="7.78"/>
    <col collapsed="false" customWidth="true" hidden="false" outlineLevel="0" max="6" min="6" style="179" width="10.33"/>
    <col collapsed="false" customWidth="true" hidden="false" outlineLevel="0" max="7" min="7" style="179" width="8.33"/>
    <col collapsed="false" customWidth="false" hidden="false" outlineLevel="0" max="8" min="8" style="179" width="7.78"/>
    <col collapsed="false" customWidth="true" hidden="false" outlineLevel="0" max="9" min="9" style="179" width="10.11"/>
    <col collapsed="false" customWidth="true" hidden="false" outlineLevel="0" max="11" min="10" style="179" width="8.67"/>
    <col collapsed="false" customWidth="true" hidden="false" outlineLevel="0" max="12" min="12" style="179" width="10.33"/>
    <col collapsed="false" customWidth="true" hidden="false" outlineLevel="0" max="14" min="13" style="179" width="8.67"/>
    <col collapsed="false" customWidth="true" hidden="false" outlineLevel="0" max="15" min="15" style="179" width="11"/>
    <col collapsed="false" customWidth="true" hidden="false" outlineLevel="0" max="16" min="16" style="179" width="8.67"/>
    <col collapsed="false" customWidth="true" hidden="false" outlineLevel="0" max="18" min="17" style="179" width="10.33"/>
    <col collapsed="false" customWidth="true" hidden="false" outlineLevel="0" max="19" min="19" style="179" width="10.11"/>
    <col collapsed="false" customWidth="true" hidden="false" outlineLevel="0" max="21" min="20" style="179" width="10.33"/>
    <col collapsed="false" customWidth="true" hidden="false" outlineLevel="0" max="22" min="22" style="179" width="11.67"/>
    <col collapsed="false" customWidth="true" hidden="false" outlineLevel="0" max="23" min="23" style="179" width="10.33"/>
    <col collapsed="false" customWidth="true" hidden="false" outlineLevel="0" max="24" min="24" style="179" width="9.88"/>
    <col collapsed="false" customWidth="true" hidden="false" outlineLevel="0" max="25" min="25" style="179" width="10.66"/>
    <col collapsed="false" customWidth="true" hidden="false" outlineLevel="0" max="26" min="26" style="179" width="9.22"/>
    <col collapsed="false" customWidth="true" hidden="false" outlineLevel="0" max="27" min="27" style="179" width="9.11"/>
    <col collapsed="false" customWidth="true" hidden="false" outlineLevel="0" max="28" min="28" style="179" width="9.77"/>
    <col collapsed="false" customWidth="false" hidden="false" outlineLevel="0" max="16384" min="29" style="179" width="7.78"/>
  </cols>
  <sheetData>
    <row r="1" customFormat="false" ht="33.75" hidden="false" customHeight="true" outlineLevel="0" collapsed="false">
      <c r="A1" s="197" t="s">
        <v>122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</row>
    <row r="2" customFormat="false" ht="18.75" hidden="false" customHeight="true" outlineLevel="0" collapsed="false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 t="s">
        <v>123</v>
      </c>
      <c r="R2" s="199"/>
      <c r="S2" s="199"/>
    </row>
    <row r="3" customFormat="false" ht="18.75" hidden="false" customHeight="true" outlineLevel="0" collapsed="false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9" t="s">
        <v>124</v>
      </c>
      <c r="R3" s="199"/>
      <c r="S3" s="199"/>
    </row>
    <row r="4" customFormat="false" ht="19.5" hidden="false" customHeight="true" outlineLevel="0" collapsed="false">
      <c r="A4" s="200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9" t="s">
        <v>125</v>
      </c>
      <c r="R4" s="199"/>
      <c r="S4" s="199"/>
    </row>
    <row r="5" customFormat="false" ht="22.5" hidden="false" customHeight="true" outlineLevel="0" collapsed="false">
      <c r="A5" s="201" t="s">
        <v>126</v>
      </c>
      <c r="B5" s="202" t="s">
        <v>5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</row>
    <row r="6" customFormat="false" ht="22.5" hidden="false" customHeight="true" outlineLevel="0" collapsed="false">
      <c r="A6" s="201"/>
      <c r="B6" s="203" t="s">
        <v>82</v>
      </c>
      <c r="C6" s="203"/>
      <c r="D6" s="203"/>
      <c r="E6" s="203" t="s">
        <v>83</v>
      </c>
      <c r="F6" s="203"/>
      <c r="G6" s="203"/>
      <c r="H6" s="203" t="s">
        <v>84</v>
      </c>
      <c r="I6" s="203"/>
      <c r="J6" s="203"/>
      <c r="K6" s="203" t="s">
        <v>85</v>
      </c>
      <c r="L6" s="203"/>
      <c r="M6" s="203"/>
      <c r="N6" s="203" t="s">
        <v>86</v>
      </c>
      <c r="O6" s="203"/>
      <c r="P6" s="203"/>
      <c r="Q6" s="203" t="s">
        <v>87</v>
      </c>
      <c r="R6" s="203"/>
      <c r="S6" s="203"/>
      <c r="T6" s="203" t="s">
        <v>88</v>
      </c>
      <c r="U6" s="203"/>
      <c r="V6" s="203"/>
      <c r="W6" s="204" t="s">
        <v>89</v>
      </c>
      <c r="X6" s="204"/>
      <c r="Y6" s="204"/>
      <c r="Z6" s="204" t="s">
        <v>90</v>
      </c>
      <c r="AA6" s="204"/>
      <c r="AB6" s="204"/>
    </row>
    <row r="7" customFormat="false" ht="26.25" hidden="false" customHeight="true" outlineLevel="0" collapsed="false">
      <c r="A7" s="201"/>
      <c r="B7" s="201" t="s">
        <v>24</v>
      </c>
      <c r="C7" s="201" t="s">
        <v>26</v>
      </c>
      <c r="D7" s="201" t="s">
        <v>127</v>
      </c>
      <c r="E7" s="201" t="s">
        <v>24</v>
      </c>
      <c r="F7" s="201" t="s">
        <v>26</v>
      </c>
      <c r="G7" s="201" t="s">
        <v>127</v>
      </c>
      <c r="H7" s="201" t="s">
        <v>24</v>
      </c>
      <c r="I7" s="201" t="s">
        <v>26</v>
      </c>
      <c r="J7" s="201" t="s">
        <v>127</v>
      </c>
      <c r="K7" s="201" t="s">
        <v>24</v>
      </c>
      <c r="L7" s="201" t="s">
        <v>26</v>
      </c>
      <c r="M7" s="201" t="s">
        <v>127</v>
      </c>
      <c r="N7" s="201" t="s">
        <v>24</v>
      </c>
      <c r="O7" s="201" t="s">
        <v>26</v>
      </c>
      <c r="P7" s="201" t="s">
        <v>127</v>
      </c>
      <c r="Q7" s="201" t="s">
        <v>24</v>
      </c>
      <c r="R7" s="201" t="s">
        <v>26</v>
      </c>
      <c r="S7" s="201" t="s">
        <v>127</v>
      </c>
      <c r="T7" s="201" t="s">
        <v>24</v>
      </c>
      <c r="U7" s="201" t="s">
        <v>26</v>
      </c>
      <c r="V7" s="201" t="s">
        <v>127</v>
      </c>
      <c r="W7" s="201" t="s">
        <v>24</v>
      </c>
      <c r="X7" s="201" t="s">
        <v>26</v>
      </c>
      <c r="Y7" s="201" t="s">
        <v>127</v>
      </c>
      <c r="Z7" s="201" t="s">
        <v>24</v>
      </c>
      <c r="AA7" s="201" t="s">
        <v>26</v>
      </c>
      <c r="AB7" s="201" t="s">
        <v>127</v>
      </c>
    </row>
    <row r="8" customFormat="false" ht="22.5" hidden="false" customHeight="true" outlineLevel="0" collapsed="false">
      <c r="A8" s="205" t="s">
        <v>128</v>
      </c>
      <c r="B8" s="206" t="n">
        <v>204600</v>
      </c>
      <c r="C8" s="206" t="n">
        <v>227500</v>
      </c>
      <c r="D8" s="207" t="n">
        <v>1.1119257086999</v>
      </c>
      <c r="E8" s="206" t="n">
        <v>204650</v>
      </c>
      <c r="F8" s="206" t="n">
        <v>228068</v>
      </c>
      <c r="G8" s="207" t="n">
        <v>1.11442951380406</v>
      </c>
      <c r="H8" s="206" t="n">
        <v>197750</v>
      </c>
      <c r="I8" s="206" t="n">
        <v>248409</v>
      </c>
      <c r="J8" s="207" t="n">
        <v>1.25617699115044</v>
      </c>
      <c r="K8" s="208" t="n">
        <v>208766</v>
      </c>
      <c r="L8" s="208" t="n">
        <v>251185</v>
      </c>
      <c r="M8" s="207" t="n">
        <v>1.20318921663489</v>
      </c>
      <c r="N8" s="206" t="n">
        <v>212876</v>
      </c>
      <c r="O8" s="206" t="n">
        <v>262835</v>
      </c>
      <c r="P8" s="207" t="n">
        <v>1.23468592044195</v>
      </c>
      <c r="Q8" s="208" t="n">
        <v>202415.827349</v>
      </c>
      <c r="R8" s="208" t="n">
        <v>246092.049843185</v>
      </c>
      <c r="S8" s="207" t="n">
        <v>1.21577473988178</v>
      </c>
      <c r="T8" s="206" t="n">
        <v>198454</v>
      </c>
      <c r="U8" s="206" t="n">
        <v>252283</v>
      </c>
      <c r="V8" s="207" t="n">
        <v>1.27</v>
      </c>
      <c r="W8" s="208" t="n">
        <v>173011.100006078</v>
      </c>
      <c r="X8" s="208" t="n">
        <v>200787.009690305</v>
      </c>
      <c r="Y8" s="207" t="n">
        <f aca="false">X8/W8</f>
        <v>1.16054409042686</v>
      </c>
      <c r="Z8" s="193" t="n">
        <v>145984</v>
      </c>
      <c r="AA8" s="193" t="n">
        <v>152936</v>
      </c>
      <c r="AB8" s="193" t="n">
        <v>1.05</v>
      </c>
    </row>
    <row r="9" customFormat="false" ht="22.5" hidden="false" customHeight="true" outlineLevel="0" collapsed="false">
      <c r="A9" s="205"/>
      <c r="B9" s="207" t="n">
        <v>0.1</v>
      </c>
      <c r="C9" s="207" t="n">
        <v>0</v>
      </c>
      <c r="D9" s="207" t="n">
        <v>-0.1</v>
      </c>
      <c r="E9" s="207" t="n">
        <v>0.0244379276637341</v>
      </c>
      <c r="F9" s="207" t="n">
        <v>0.24967032967033</v>
      </c>
      <c r="G9" s="207" t="n">
        <v>0.225177373322991</v>
      </c>
      <c r="H9" s="207" t="n">
        <v>-3.37161006596628</v>
      </c>
      <c r="I9" s="207" t="n">
        <v>8.91883122577477</v>
      </c>
      <c r="J9" s="207" t="n">
        <v>12.7192860194933</v>
      </c>
      <c r="K9" s="207" t="n">
        <v>5.57067003792668</v>
      </c>
      <c r="L9" s="207" t="n">
        <v>1.11751184538402</v>
      </c>
      <c r="M9" s="207" t="n">
        <v>-4.21817744544279</v>
      </c>
      <c r="N9" s="207" t="n">
        <v>1.96871138020559</v>
      </c>
      <c r="O9" s="207" t="n">
        <v>4.6380158050839</v>
      </c>
      <c r="P9" s="207" t="n">
        <v>2.61776812587677</v>
      </c>
      <c r="Q9" s="207" t="n">
        <v>-4.91373975976625</v>
      </c>
      <c r="R9" s="207" t="n">
        <v>-6.37013721795613</v>
      </c>
      <c r="S9" s="207" t="n">
        <v>-1.53165920555728</v>
      </c>
      <c r="T9" s="207" t="n">
        <f aca="false">(T8/Q8-1)*100</f>
        <v>-1.95727152411315</v>
      </c>
      <c r="U9" s="207" t="n">
        <f aca="false">(U8/R8-1)*100</f>
        <v>2.51570506270316</v>
      </c>
      <c r="V9" s="207" t="n">
        <f aca="false">(V8/S8-1)*100</f>
        <v>4.46014038122662</v>
      </c>
      <c r="W9" s="207" t="n">
        <f aca="false">(W8/T8-1)*100</f>
        <v>-12.8205528706511</v>
      </c>
      <c r="X9" s="207" t="n">
        <f aca="false">(X8/U8-1)*100</f>
        <v>-20.4119937965281</v>
      </c>
      <c r="Y9" s="207" t="n">
        <f aca="false">(Y8/V8-1)*100</f>
        <v>-8.61857555693982</v>
      </c>
      <c r="Z9" s="207" t="n">
        <f aca="false">(Z8/W8-1)*100</f>
        <v>-15.6215988483563</v>
      </c>
      <c r="AA9" s="207" t="n">
        <f aca="false">(AA8/X8-1)*100</f>
        <v>-23.8317258492522</v>
      </c>
      <c r="AB9" s="207" t="n">
        <f aca="false">(AB8/Y8-1)*100</f>
        <v>-9.52519523719298</v>
      </c>
    </row>
    <row r="10" customFormat="false" ht="22.5" hidden="false" customHeight="true" outlineLevel="0" collapsed="false">
      <c r="A10" s="205" t="s">
        <v>129</v>
      </c>
      <c r="B10" s="206" t="n">
        <v>9350</v>
      </c>
      <c r="C10" s="206" t="n">
        <v>9500</v>
      </c>
      <c r="D10" s="207" t="n">
        <v>1.01604278074866</v>
      </c>
      <c r="E10" s="206" t="n">
        <v>9400</v>
      </c>
      <c r="F10" s="206" t="n">
        <v>9560</v>
      </c>
      <c r="G10" s="207" t="n">
        <v>1.02</v>
      </c>
      <c r="H10" s="206" t="n">
        <v>8933</v>
      </c>
      <c r="I10" s="206" t="n">
        <v>9111.7</v>
      </c>
      <c r="J10" s="207" t="n">
        <v>1.02000447777902</v>
      </c>
      <c r="K10" s="208" t="n">
        <v>9653</v>
      </c>
      <c r="L10" s="208" t="n">
        <v>10675</v>
      </c>
      <c r="M10" s="207" t="n">
        <v>1.10587382160986</v>
      </c>
      <c r="N10" s="206" t="n">
        <v>9982</v>
      </c>
      <c r="O10" s="206" t="n">
        <v>11285</v>
      </c>
      <c r="P10" s="207" t="n">
        <v>1.13053496293328</v>
      </c>
      <c r="Q10" s="208" t="n">
        <v>9839.60232950914</v>
      </c>
      <c r="R10" s="208" t="n">
        <v>11064.7655370382</v>
      </c>
      <c r="S10" s="207" t="n">
        <v>1.12451348809644</v>
      </c>
      <c r="T10" s="206" t="n">
        <v>10793</v>
      </c>
      <c r="U10" s="206" t="n">
        <v>12196</v>
      </c>
      <c r="V10" s="207" t="n">
        <v>1.13</v>
      </c>
      <c r="W10" s="208" t="n">
        <v>10408.153485</v>
      </c>
      <c r="X10" s="208" t="n">
        <v>11979.6241016529</v>
      </c>
      <c r="Y10" s="207" t="n">
        <f aca="false">X10/W10</f>
        <v>1.15098457367271</v>
      </c>
      <c r="Z10" s="193" t="n">
        <v>8929</v>
      </c>
      <c r="AA10" s="193" t="n">
        <v>9940</v>
      </c>
      <c r="AB10" s="193" t="n">
        <v>1.11</v>
      </c>
    </row>
    <row r="11" customFormat="false" ht="22.5" hidden="false" customHeight="true" outlineLevel="0" collapsed="false">
      <c r="A11" s="205"/>
      <c r="B11" s="206" t="n">
        <v>0.1</v>
      </c>
      <c r="C11" s="206" t="n">
        <v>0.9</v>
      </c>
      <c r="D11" s="206" t="n">
        <v>0.2</v>
      </c>
      <c r="E11" s="207" t="n">
        <v>0.53475935828877</v>
      </c>
      <c r="F11" s="207" t="n">
        <v>0.631578947368421</v>
      </c>
      <c r="G11" s="207" t="n">
        <v>0.389473684210522</v>
      </c>
      <c r="H11" s="207" t="n">
        <v>-4.96808510638298</v>
      </c>
      <c r="I11" s="207" t="n">
        <v>-4.68933054393305</v>
      </c>
      <c r="J11" s="207" t="n">
        <v>0.000438997943291393</v>
      </c>
      <c r="K11" s="207" t="n">
        <v>8.06000223888951</v>
      </c>
      <c r="L11" s="207" t="n">
        <v>17.1570617996642</v>
      </c>
      <c r="M11" s="207" t="n">
        <v>8.41852616351394</v>
      </c>
      <c r="N11" s="207" t="n">
        <v>3.40826686004351</v>
      </c>
      <c r="O11" s="207" t="n">
        <v>5.71428571428571</v>
      </c>
      <c r="P11" s="207" t="n">
        <v>2.23001402524544</v>
      </c>
      <c r="Q11" s="207" t="n">
        <v>-1.42654448498157</v>
      </c>
      <c r="R11" s="207" t="n">
        <v>-1.95156812549228</v>
      </c>
      <c r="S11" s="207" t="n">
        <v>-0.532621726374109</v>
      </c>
      <c r="T11" s="207" t="n">
        <f aca="false">(T10/Q10-1)*100</f>
        <v>9.68939230025185</v>
      </c>
      <c r="U11" s="207" t="n">
        <f aca="false">(U10/R10-1)*100</f>
        <v>10.2237544860314</v>
      </c>
      <c r="V11" s="207" t="n">
        <f aca="false">(V10/S10-1)*100</f>
        <v>0.487900942197439</v>
      </c>
      <c r="W11" s="207" t="n">
        <f aca="false">(W10/T10-1)*100</f>
        <v>-3.56570476234596</v>
      </c>
      <c r="X11" s="207" t="n">
        <f aca="false">(X10/U10-1)*100</f>
        <v>-1.77415462731305</v>
      </c>
      <c r="Y11" s="207" t="n">
        <f aca="false">(Y10/V10-1)*100</f>
        <v>1.85704191793932</v>
      </c>
      <c r="Z11" s="207" t="n">
        <f aca="false">(Z10/W10-1)*100</f>
        <v>-14.2114880140048</v>
      </c>
      <c r="AA11" s="207" t="n">
        <f aca="false">(AA10/X10-1)*100</f>
        <v>-17.0257771391298</v>
      </c>
      <c r="AB11" s="207" t="n">
        <f aca="false">(AB10/Y10-1)*100</f>
        <v>-3.56082736556017</v>
      </c>
    </row>
    <row r="12" customFormat="false" ht="22.5" hidden="false" customHeight="true" outlineLevel="0" collapsed="false">
      <c r="A12" s="205" t="s">
        <v>130</v>
      </c>
      <c r="B12" s="206" t="n">
        <v>16800</v>
      </c>
      <c r="C12" s="206" t="n">
        <v>16490</v>
      </c>
      <c r="D12" s="207" t="n">
        <v>0.981547619047619</v>
      </c>
      <c r="E12" s="206" t="n">
        <v>16830</v>
      </c>
      <c r="F12" s="206" t="n">
        <v>16700</v>
      </c>
      <c r="G12" s="207" t="n">
        <v>0.992275698158051</v>
      </c>
      <c r="H12" s="206" t="n">
        <v>15101</v>
      </c>
      <c r="I12" s="206" t="n">
        <v>15524</v>
      </c>
      <c r="J12" s="207" t="n">
        <v>1.02801138997417</v>
      </c>
      <c r="K12" s="208" t="n">
        <v>16753</v>
      </c>
      <c r="L12" s="208" t="n">
        <v>16538</v>
      </c>
      <c r="M12" s="207" t="n">
        <v>0.987166477645795</v>
      </c>
      <c r="N12" s="206" t="n">
        <v>16895</v>
      </c>
      <c r="O12" s="206" t="n">
        <v>17063</v>
      </c>
      <c r="P12" s="207" t="n">
        <v>1.00994377034626</v>
      </c>
      <c r="Q12" s="208" t="n">
        <v>16590.9135406109</v>
      </c>
      <c r="R12" s="208" t="n">
        <v>16649.1052057996</v>
      </c>
      <c r="S12" s="207" t="n">
        <v>1.00350744189259</v>
      </c>
      <c r="T12" s="206" t="n">
        <v>15512</v>
      </c>
      <c r="U12" s="206" t="n">
        <v>15977</v>
      </c>
      <c r="V12" s="207" t="n">
        <v>1.03</v>
      </c>
      <c r="W12" s="208" t="n">
        <v>11745.1</v>
      </c>
      <c r="X12" s="208" t="n">
        <v>12709.5636052319</v>
      </c>
      <c r="Y12" s="207" t="n">
        <f aca="false">X12/W12</f>
        <v>1.08211625318064</v>
      </c>
      <c r="Z12" s="193" t="n">
        <v>12447</v>
      </c>
      <c r="AA12" s="193" t="n">
        <v>11605</v>
      </c>
      <c r="AB12" s="193" t="n">
        <v>0.93</v>
      </c>
    </row>
    <row r="13" customFormat="false" ht="22.5" hidden="false" customHeight="true" outlineLevel="0" collapsed="false">
      <c r="A13" s="205"/>
      <c r="B13" s="206" t="n">
        <v>-0.5</v>
      </c>
      <c r="C13" s="206" t="n">
        <v>0.1</v>
      </c>
      <c r="D13" s="206" t="n">
        <v>0.7</v>
      </c>
      <c r="E13" s="207" t="n">
        <v>0.178571428571429</v>
      </c>
      <c r="F13" s="207" t="n">
        <v>1.27349909035779</v>
      </c>
      <c r="G13" s="207" t="n">
        <v>1.09297591907373</v>
      </c>
      <c r="H13" s="207" t="n">
        <v>-10.273321449792</v>
      </c>
      <c r="I13" s="207" t="n">
        <v>-7.04191616766467</v>
      </c>
      <c r="J13" s="207" t="n">
        <v>3.60138738482244</v>
      </c>
      <c r="K13" s="207" t="n">
        <v>10.9396728693464</v>
      </c>
      <c r="L13" s="207" t="n">
        <v>6.53182169543932</v>
      </c>
      <c r="M13" s="207" t="n">
        <v>-3.97319647688001</v>
      </c>
      <c r="N13" s="207" t="n">
        <v>0.847609383394019</v>
      </c>
      <c r="O13" s="207" t="n">
        <v>3.17450719554964</v>
      </c>
      <c r="P13" s="207" t="n">
        <v>2.30734057691881</v>
      </c>
      <c r="Q13" s="207" t="n">
        <v>-1.79986066522121</v>
      </c>
      <c r="R13" s="207" t="n">
        <v>-2.42568595323475</v>
      </c>
      <c r="S13" s="207" t="n">
        <v>-0.637295723053938</v>
      </c>
      <c r="T13" s="207" t="n">
        <f aca="false">(T12/Q12-1)*100</f>
        <v>-6.5030387746278</v>
      </c>
      <c r="U13" s="207" t="n">
        <f aca="false">(U12/R12-1)*100</f>
        <v>-4.03688485051722</v>
      </c>
      <c r="V13" s="207" t="n">
        <f aca="false">(V12/S12-1)*100</f>
        <v>2.63999617755157</v>
      </c>
      <c r="W13" s="207" t="n">
        <f aca="false">(W12/T12-1)*100</f>
        <v>-24.2837802991233</v>
      </c>
      <c r="X13" s="207" t="n">
        <f aca="false">(X12/U12-1)*100</f>
        <v>-20.450875600977</v>
      </c>
      <c r="Y13" s="207" t="n">
        <f aca="false">(Y12/V12-1)*100</f>
        <v>5.05983040588709</v>
      </c>
      <c r="Z13" s="207" t="n">
        <f aca="false">(Z12/W12-1)*100</f>
        <v>5.97610918595839</v>
      </c>
      <c r="AA13" s="207" t="n">
        <f aca="false">(AA12/X12-1)*100</f>
        <v>-8.69080669911598</v>
      </c>
      <c r="AB13" s="207" t="n">
        <f aca="false">(AB12/Y12-1)*100</f>
        <v>-14.0572930804362</v>
      </c>
    </row>
    <row r="14" customFormat="false" ht="22.5" hidden="false" customHeight="true" outlineLevel="0" collapsed="false">
      <c r="A14" s="205" t="s">
        <v>131</v>
      </c>
      <c r="B14" s="206" t="n">
        <v>23150</v>
      </c>
      <c r="C14" s="206" t="n">
        <v>19450</v>
      </c>
      <c r="D14" s="207" t="n">
        <v>0.840172786177106</v>
      </c>
      <c r="E14" s="206" t="n">
        <v>23200</v>
      </c>
      <c r="F14" s="206" t="n">
        <v>19500</v>
      </c>
      <c r="G14" s="207" t="n">
        <v>0.84051724137931</v>
      </c>
      <c r="H14" s="206" t="n">
        <v>21196</v>
      </c>
      <c r="I14" s="206" t="n">
        <v>18016.2</v>
      </c>
      <c r="J14" s="207" t="n">
        <v>0.849981128514814</v>
      </c>
      <c r="K14" s="208" t="n">
        <v>23492</v>
      </c>
      <c r="L14" s="208" t="n">
        <v>19928</v>
      </c>
      <c r="M14" s="207" t="n">
        <v>0.848288779158863</v>
      </c>
      <c r="N14" s="206" t="n">
        <v>23056</v>
      </c>
      <c r="O14" s="206" t="n">
        <v>20440</v>
      </c>
      <c r="P14" s="207" t="n">
        <v>0.886537126995142</v>
      </c>
      <c r="Q14" s="208" t="n">
        <v>24500.0232970825</v>
      </c>
      <c r="R14" s="208" t="n">
        <v>21632.7268376718</v>
      </c>
      <c r="S14" s="207" t="n">
        <v>0.882967602738887</v>
      </c>
      <c r="T14" s="206" t="n">
        <v>28383</v>
      </c>
      <c r="U14" s="206" t="n">
        <v>26114</v>
      </c>
      <c r="V14" s="207" t="n">
        <v>0.92</v>
      </c>
      <c r="W14" s="208" t="n">
        <v>26239.043097011</v>
      </c>
      <c r="X14" s="208" t="n">
        <v>24753.5281769073</v>
      </c>
      <c r="Y14" s="207" t="n">
        <f aca="false">X14/W14</f>
        <v>0.943385324128954</v>
      </c>
      <c r="Z14" s="193" t="n">
        <v>25367</v>
      </c>
      <c r="AA14" s="193" t="n">
        <v>23702</v>
      </c>
      <c r="AB14" s="193" t="n">
        <v>0.93</v>
      </c>
    </row>
    <row r="15" customFormat="false" ht="22.5" hidden="false" customHeight="true" outlineLevel="0" collapsed="false">
      <c r="A15" s="205"/>
      <c r="B15" s="206" t="n">
        <v>0.01</v>
      </c>
      <c r="C15" s="206" t="n">
        <v>0.1</v>
      </c>
      <c r="D15" s="206" t="n">
        <v>0.04</v>
      </c>
      <c r="E15" s="207" t="n">
        <v>0.215982721382289</v>
      </c>
      <c r="F15" s="207" t="n">
        <v>0.25706940874036</v>
      </c>
      <c r="G15" s="207" t="n">
        <v>0.0409981384629135</v>
      </c>
      <c r="H15" s="207" t="n">
        <v>-8.63793103448276</v>
      </c>
      <c r="I15" s="207" t="n">
        <v>-7.60923076923077</v>
      </c>
      <c r="J15" s="207" t="n">
        <v>1.12595990535224</v>
      </c>
      <c r="K15" s="207" t="n">
        <v>10.8322324966975</v>
      </c>
      <c r="L15" s="207" t="n">
        <v>10.6115607064753</v>
      </c>
      <c r="M15" s="207" t="n">
        <v>-0.199104344693934</v>
      </c>
      <c r="N15" s="207" t="n">
        <v>-1.85595096202963</v>
      </c>
      <c r="O15" s="207" t="n">
        <v>2.5692492974709</v>
      </c>
      <c r="P15" s="207" t="n">
        <v>4.50888291534466</v>
      </c>
      <c r="Q15" s="207" t="n">
        <v>6.26311284300164</v>
      </c>
      <c r="R15" s="207" t="n">
        <v>5.8352585013296</v>
      </c>
      <c r="S15" s="207" t="n">
        <v>-0.402636747809361</v>
      </c>
      <c r="T15" s="207" t="n">
        <f aca="false">(T14/Q14-1)*100</f>
        <v>15.8488694309931</v>
      </c>
      <c r="U15" s="207" t="n">
        <f aca="false">(U14/R14-1)*100</f>
        <v>20.7152486875783</v>
      </c>
      <c r="V15" s="207" t="n">
        <f aca="false">(V14/S14-1)*100</f>
        <v>4.19408335552085</v>
      </c>
      <c r="W15" s="207" t="n">
        <f aca="false">(W14/T14-1)*100</f>
        <v>-7.55366558499454</v>
      </c>
      <c r="X15" s="207" t="n">
        <f aca="false">(X14/U14-1)*100</f>
        <v>-5.2097412234537</v>
      </c>
      <c r="Y15" s="207" t="n">
        <f aca="false">(Y14/V14-1)*100</f>
        <v>2.54188305749494</v>
      </c>
      <c r="Z15" s="207" t="n">
        <f aca="false">(Z14/W14-1)*100</f>
        <v>-3.32345617096965</v>
      </c>
      <c r="AA15" s="207" t="n">
        <f aca="false">(AA14/X14-1)*100</f>
        <v>-4.24799313209936</v>
      </c>
      <c r="AB15" s="207" t="n">
        <f aca="false">(AB14/Y14-1)*100</f>
        <v>-1.41886075462456</v>
      </c>
    </row>
    <row r="16" customFormat="false" ht="22.5" hidden="false" customHeight="true" outlineLevel="0" collapsed="false">
      <c r="A16" s="205" t="s">
        <v>132</v>
      </c>
      <c r="B16" s="206" t="n">
        <v>23600</v>
      </c>
      <c r="C16" s="206" t="n">
        <v>28350</v>
      </c>
      <c r="D16" s="207" t="n">
        <v>1.20127118644068</v>
      </c>
      <c r="E16" s="206" t="n">
        <v>23625</v>
      </c>
      <c r="F16" s="206" t="n">
        <v>28420</v>
      </c>
      <c r="G16" s="207" t="n">
        <v>1.2</v>
      </c>
      <c r="H16" s="206" t="n">
        <v>22602</v>
      </c>
      <c r="I16" s="206" t="n">
        <v>28252.7</v>
      </c>
      <c r="J16" s="207" t="n">
        <v>1.25000884877444</v>
      </c>
      <c r="K16" s="208" t="n">
        <v>25179</v>
      </c>
      <c r="L16" s="208" t="n">
        <v>31567</v>
      </c>
      <c r="M16" s="207" t="n">
        <v>1.25370348306128</v>
      </c>
      <c r="N16" s="206" t="n">
        <v>26775</v>
      </c>
      <c r="O16" s="206" t="n">
        <v>34544</v>
      </c>
      <c r="P16" s="207" t="n">
        <v>1.29015873015873</v>
      </c>
      <c r="Q16" s="208" t="n">
        <v>23030.1956418312</v>
      </c>
      <c r="R16" s="208" t="n">
        <v>30647.9033747803</v>
      </c>
      <c r="S16" s="207" t="n">
        <v>1.33077043076059</v>
      </c>
      <c r="T16" s="206" t="n">
        <v>24921</v>
      </c>
      <c r="U16" s="206" t="n">
        <v>35138</v>
      </c>
      <c r="V16" s="207" t="n">
        <v>1.41</v>
      </c>
      <c r="W16" s="208" t="n">
        <v>26841.905</v>
      </c>
      <c r="X16" s="208" t="n">
        <v>36671.6090351482</v>
      </c>
      <c r="Y16" s="207" t="n">
        <f aca="false">X16/W16</f>
        <v>1.36620739232734</v>
      </c>
      <c r="Z16" s="193" t="n">
        <v>22549</v>
      </c>
      <c r="AA16" s="193" t="n">
        <v>28520</v>
      </c>
      <c r="AB16" s="193" t="n">
        <v>1.26</v>
      </c>
    </row>
    <row r="17" customFormat="false" ht="22.5" hidden="false" customHeight="true" outlineLevel="0" collapsed="false">
      <c r="A17" s="205"/>
      <c r="B17" s="209" t="n">
        <v>0.1</v>
      </c>
      <c r="C17" s="206" t="n">
        <v>0.1</v>
      </c>
      <c r="D17" s="206" t="n">
        <v>0.1</v>
      </c>
      <c r="E17" s="207" t="n">
        <v>0.105932203389831</v>
      </c>
      <c r="F17" s="207" t="n">
        <v>0.246913580246914</v>
      </c>
      <c r="G17" s="207" t="n">
        <v>-0.105820105820111</v>
      </c>
      <c r="H17" s="207" t="n">
        <v>-4.33015873015873</v>
      </c>
      <c r="I17" s="207" t="n">
        <v>-0.588669950738914</v>
      </c>
      <c r="J17" s="207" t="n">
        <v>4.16740406453707</v>
      </c>
      <c r="K17" s="207" t="n">
        <v>11.4016458720467</v>
      </c>
      <c r="L17" s="207" t="n">
        <v>11.7309142135088</v>
      </c>
      <c r="M17" s="207" t="n">
        <v>0.29556865061066</v>
      </c>
      <c r="N17" s="207" t="n">
        <v>6.33861551292744</v>
      </c>
      <c r="O17" s="207" t="n">
        <v>9.43073462793424</v>
      </c>
      <c r="P17" s="207" t="n">
        <v>2.90780456383776</v>
      </c>
      <c r="Q17" s="207" t="n">
        <v>-13.9861974161301</v>
      </c>
      <c r="R17" s="207" t="n">
        <v>-11.2786493319238</v>
      </c>
      <c r="S17" s="207" t="n">
        <v>3.14780651810649</v>
      </c>
      <c r="T17" s="207" t="n">
        <f aca="false">(T16/Q16-1)*100</f>
        <v>8.210109838296</v>
      </c>
      <c r="U17" s="207" t="n">
        <f aca="false">(U16/R16-1)*100</f>
        <v>14.6505833378297</v>
      </c>
      <c r="V17" s="207" t="n">
        <f aca="false">(V16/S16-1)*100</f>
        <v>5.95366168409128</v>
      </c>
      <c r="W17" s="207" t="n">
        <f aca="false">(W16/T16-1)*100</f>
        <v>7.7079772079772</v>
      </c>
      <c r="X17" s="207" t="n">
        <f aca="false">(X16/U16-1)*100</f>
        <v>4.36453137670954</v>
      </c>
      <c r="Y17" s="207" t="n">
        <f aca="false">(Y16/V16-1)*100</f>
        <v>-3.10585870018862</v>
      </c>
      <c r="Z17" s="207" t="n">
        <f aca="false">(Z16/W16-1)*100</f>
        <v>-15.9932948127191</v>
      </c>
      <c r="AA17" s="207" t="n">
        <f aca="false">(AA16/X16-1)*100</f>
        <v>-22.2286647617104</v>
      </c>
      <c r="AB17" s="207" t="n">
        <f aca="false">(AB16/Y16-1)*100</f>
        <v>-7.77388505755452</v>
      </c>
    </row>
    <row r="18" customFormat="false" ht="22.5" hidden="false" customHeight="true" outlineLevel="0" collapsed="false">
      <c r="A18" s="205" t="s">
        <v>133</v>
      </c>
      <c r="B18" s="206" t="n">
        <v>11500</v>
      </c>
      <c r="C18" s="206" t="n">
        <v>14250</v>
      </c>
      <c r="D18" s="207" t="n">
        <v>1.23913043478261</v>
      </c>
      <c r="E18" s="206" t="n">
        <v>11520</v>
      </c>
      <c r="F18" s="206" t="n">
        <v>14500</v>
      </c>
      <c r="G18" s="207" t="n">
        <v>1.25868055555556</v>
      </c>
      <c r="H18" s="206" t="n">
        <v>7712</v>
      </c>
      <c r="I18" s="206" t="n">
        <v>9120</v>
      </c>
      <c r="J18" s="207" t="n">
        <v>1.18257261410788</v>
      </c>
      <c r="K18" s="208" t="n">
        <v>7952</v>
      </c>
      <c r="L18" s="208" t="n">
        <v>9329</v>
      </c>
      <c r="M18" s="207" t="n">
        <v>1.17316398390342</v>
      </c>
      <c r="N18" s="206" t="n">
        <v>7997</v>
      </c>
      <c r="O18" s="206" t="n">
        <v>9504</v>
      </c>
      <c r="P18" s="207" t="n">
        <v>1.18844566712517</v>
      </c>
      <c r="Q18" s="208" t="n">
        <v>10456.2776893923</v>
      </c>
      <c r="R18" s="208" t="n">
        <v>11964.8807663298</v>
      </c>
      <c r="S18" s="207" t="n">
        <v>1.14427725828933</v>
      </c>
      <c r="T18" s="206" t="n">
        <v>10407</v>
      </c>
      <c r="U18" s="206" t="n">
        <v>12072</v>
      </c>
      <c r="V18" s="207" t="n">
        <v>1.16</v>
      </c>
      <c r="W18" s="208" t="n">
        <v>5643.00174090504</v>
      </c>
      <c r="X18" s="208" t="n">
        <v>6404.01643519018</v>
      </c>
      <c r="Y18" s="207" t="n">
        <f aca="false">X18/W18</f>
        <v>1.13485990776304</v>
      </c>
      <c r="Z18" s="193" t="n">
        <v>5046</v>
      </c>
      <c r="AA18" s="193" t="n">
        <v>5546</v>
      </c>
      <c r="AB18" s="193" t="n">
        <v>1.1</v>
      </c>
    </row>
    <row r="19" customFormat="false" ht="22.5" hidden="false" customHeight="true" outlineLevel="0" collapsed="false">
      <c r="A19" s="205"/>
      <c r="B19" s="206" t="n">
        <v>0.8</v>
      </c>
      <c r="C19" s="206" t="n">
        <v>0.7</v>
      </c>
      <c r="D19" s="206" t="n">
        <v>-0.01</v>
      </c>
      <c r="E19" s="207" t="n">
        <v>0.173913043478261</v>
      </c>
      <c r="F19" s="207" t="n">
        <v>1.75438596491228</v>
      </c>
      <c r="G19" s="207" t="n">
        <v>1.57772904483431</v>
      </c>
      <c r="H19" s="207" t="n">
        <v>-33.0555555555556</v>
      </c>
      <c r="I19" s="207" t="n">
        <v>-37.1034482758621</v>
      </c>
      <c r="J19" s="207" t="n">
        <v>-6.04664472742882</v>
      </c>
      <c r="K19" s="207" t="n">
        <v>3.11203319502075</v>
      </c>
      <c r="L19" s="207" t="n">
        <v>2.29166666666667</v>
      </c>
      <c r="M19" s="207" t="n">
        <v>-0.795606975184446</v>
      </c>
      <c r="N19" s="207" t="n">
        <v>0.5658953722334</v>
      </c>
      <c r="O19" s="207" t="n">
        <v>1.87587094007932</v>
      </c>
      <c r="P19" s="207" t="n">
        <v>1.30260419101048</v>
      </c>
      <c r="Q19" s="207" t="n">
        <v>30.7525033061436</v>
      </c>
      <c r="R19" s="207" t="n">
        <v>25.8931057063317</v>
      </c>
      <c r="S19" s="207" t="n">
        <v>-3.71648532681182</v>
      </c>
      <c r="T19" s="207" t="n">
        <f aca="false">(T18/Q18-1)*100</f>
        <v>-0.471273725278842</v>
      </c>
      <c r="U19" s="207" t="n">
        <f aca="false">(U18/R18-1)*100</f>
        <v>0.895280410747112</v>
      </c>
      <c r="V19" s="207" t="n">
        <f aca="false">(V18/S18-1)*100</f>
        <v>1.37403252548907</v>
      </c>
      <c r="W19" s="207" t="n">
        <f aca="false">(W18/T18-1)*100</f>
        <v>-45.7768642173053</v>
      </c>
      <c r="X19" s="207" t="n">
        <f aca="false">(X18/U18-1)*100</f>
        <v>-46.9514874487228</v>
      </c>
      <c r="Y19" s="207" t="n">
        <f aca="false">(Y18/V18-1)*100</f>
        <v>-2.1672493307722</v>
      </c>
      <c r="Z19" s="207" t="n">
        <f aca="false">(Z18/W18-1)*100</f>
        <v>-10.5795065873804</v>
      </c>
      <c r="AA19" s="207" t="n">
        <f aca="false">(AA18/X18-1)*100</f>
        <v>-13.3980985819363</v>
      </c>
      <c r="AB19" s="207" t="n">
        <f aca="false">(AB18/Y18-1)*100</f>
        <v>-3.07173665441717</v>
      </c>
    </row>
    <row r="20" customFormat="false" ht="22.5" hidden="false" customHeight="true" outlineLevel="0" collapsed="false">
      <c r="A20" s="205" t="s">
        <v>134</v>
      </c>
      <c r="B20" s="206" t="n">
        <v>5700</v>
      </c>
      <c r="C20" s="206" t="n">
        <v>5780</v>
      </c>
      <c r="D20" s="207" t="n">
        <v>1.0140350877193</v>
      </c>
      <c r="E20" s="206" t="n">
        <v>5723</v>
      </c>
      <c r="F20" s="206" t="n">
        <v>5800</v>
      </c>
      <c r="G20" s="207" t="n">
        <v>1.01345448191508</v>
      </c>
      <c r="H20" s="206" t="n">
        <v>5575</v>
      </c>
      <c r="I20" s="206" t="n">
        <v>5686.7</v>
      </c>
      <c r="J20" s="207" t="n">
        <v>1.02003587443946</v>
      </c>
      <c r="K20" s="208" t="n">
        <v>6119</v>
      </c>
      <c r="L20" s="208" t="n">
        <v>5754</v>
      </c>
      <c r="M20" s="207" t="n">
        <v>0.940349730348096</v>
      </c>
      <c r="N20" s="206" t="n">
        <v>6326</v>
      </c>
      <c r="O20" s="206" t="n">
        <v>6865</v>
      </c>
      <c r="P20" s="207" t="n">
        <v>1.0852039203288</v>
      </c>
      <c r="Q20" s="208" t="n">
        <v>13311.49</v>
      </c>
      <c r="R20" s="208" t="n">
        <v>15453.3</v>
      </c>
      <c r="S20" s="207" t="n">
        <v>1.16089934334924</v>
      </c>
      <c r="T20" s="206" t="n">
        <v>12248</v>
      </c>
      <c r="U20" s="206" t="n">
        <v>14330</v>
      </c>
      <c r="V20" s="207" t="n">
        <v>1.17</v>
      </c>
      <c r="W20" s="208" t="n">
        <v>6108.7</v>
      </c>
      <c r="X20" s="208" t="n">
        <v>6096.8227592853</v>
      </c>
      <c r="Y20" s="207" t="n">
        <f aca="false">X20/W20</f>
        <v>0.99805568439853</v>
      </c>
      <c r="Z20" s="193" t="n">
        <v>5139</v>
      </c>
      <c r="AA20" s="193" t="n">
        <v>5228</v>
      </c>
      <c r="AB20" s="193" t="n">
        <v>1.02</v>
      </c>
    </row>
    <row r="21" customFormat="false" ht="22.5" hidden="false" customHeight="true" outlineLevel="0" collapsed="false">
      <c r="A21" s="205"/>
      <c r="B21" s="206" t="n">
        <v>-8.6</v>
      </c>
      <c r="C21" s="206" t="n">
        <v>1.8</v>
      </c>
      <c r="D21" s="206" t="n">
        <v>9.5</v>
      </c>
      <c r="E21" s="207" t="n">
        <v>0.403508771929825</v>
      </c>
      <c r="F21" s="207" t="n">
        <v>0.346020761245675</v>
      </c>
      <c r="G21" s="207" t="n">
        <v>-0.0572569737724436</v>
      </c>
      <c r="H21" s="207" t="n">
        <v>-2.5860562641971</v>
      </c>
      <c r="I21" s="207" t="n">
        <v>-1.95344827586207</v>
      </c>
      <c r="J21" s="207" t="n">
        <v>0.649401886500686</v>
      </c>
      <c r="K21" s="207" t="n">
        <v>9.75784753363229</v>
      </c>
      <c r="L21" s="207" t="n">
        <v>1.18346316844567</v>
      </c>
      <c r="M21" s="207" t="n">
        <v>-7.81209230853331</v>
      </c>
      <c r="N21" s="207" t="n">
        <v>3.38290570354633</v>
      </c>
      <c r="O21" s="207" t="n">
        <v>19.3083072645116</v>
      </c>
      <c r="P21" s="207" t="n">
        <v>15.4042889901275</v>
      </c>
      <c r="Q21" s="207" t="n">
        <v>110.425071134998</v>
      </c>
      <c r="R21" s="207" t="n">
        <v>125.102694828842</v>
      </c>
      <c r="S21" s="207" t="n">
        <v>6.97522572508819</v>
      </c>
      <c r="T21" s="207" t="n">
        <f aca="false">(T20/Q20-1)*100</f>
        <v>-7.98926341078271</v>
      </c>
      <c r="U21" s="207" t="n">
        <f aca="false">(U20/R20-1)*100</f>
        <v>-7.26899756039163</v>
      </c>
      <c r="V21" s="207" t="n">
        <f aca="false">(V20/S20-1)*100</f>
        <v>0.783931587428088</v>
      </c>
      <c r="W21" s="207" t="n">
        <f aca="false">(W20/T20-1)*100</f>
        <v>-50.124918354017</v>
      </c>
      <c r="X21" s="207" t="n">
        <f aca="false">(X20/U20-1)*100</f>
        <v>-57.4541328730963</v>
      </c>
      <c r="Y21" s="207" t="n">
        <f aca="false">(Y20/V20-1)*100</f>
        <v>-14.696095350553</v>
      </c>
      <c r="Z21" s="207" t="n">
        <f aca="false">(Z20/W20-1)*100</f>
        <v>-15.8740812284119</v>
      </c>
      <c r="AA21" s="207" t="n">
        <f aca="false">(AA20/X20-1)*100</f>
        <v>-14.2504185144977</v>
      </c>
      <c r="AB21" s="207" t="n">
        <f aca="false">(AB20/Y20-1)*100</f>
        <v>2.19870653957495</v>
      </c>
    </row>
    <row r="22" customFormat="false" ht="22.5" hidden="false" customHeight="true" outlineLevel="0" collapsed="false">
      <c r="A22" s="205" t="s">
        <v>135</v>
      </c>
      <c r="B22" s="206" t="n">
        <v>30500</v>
      </c>
      <c r="C22" s="206" t="n">
        <v>30575</v>
      </c>
      <c r="D22" s="207" t="n">
        <v>1.00245901639344</v>
      </c>
      <c r="E22" s="206" t="n">
        <v>30525</v>
      </c>
      <c r="F22" s="206" t="n">
        <v>30600.1</v>
      </c>
      <c r="G22" s="207" t="n">
        <v>1</v>
      </c>
      <c r="H22" s="206" t="n">
        <v>27203</v>
      </c>
      <c r="I22" s="206" t="n">
        <v>27475.5</v>
      </c>
      <c r="J22" s="207" t="n">
        <v>1.01001727750616</v>
      </c>
      <c r="K22" s="208" t="n">
        <v>33826</v>
      </c>
      <c r="L22" s="208" t="n">
        <v>37011</v>
      </c>
      <c r="M22" s="207" t="n">
        <v>1.09415833973866</v>
      </c>
      <c r="N22" s="206" t="n">
        <v>36785</v>
      </c>
      <c r="O22" s="206" t="n">
        <v>41674</v>
      </c>
      <c r="P22" s="207" t="n">
        <v>1.13290743509583</v>
      </c>
      <c r="Q22" s="208" t="n">
        <v>34998.409467018</v>
      </c>
      <c r="R22" s="208" t="n">
        <v>40850.1755941409</v>
      </c>
      <c r="S22" s="207" t="n">
        <v>1.16720091616271</v>
      </c>
      <c r="T22" s="206" t="n">
        <v>33832</v>
      </c>
      <c r="U22" s="206" t="n">
        <v>40260</v>
      </c>
      <c r="V22" s="207" t="n">
        <v>1.19</v>
      </c>
      <c r="W22" s="208" t="n">
        <v>36259.822</v>
      </c>
      <c r="X22" s="208" t="n">
        <v>40803.6969569879</v>
      </c>
      <c r="Y22" s="207" t="n">
        <f aca="false">X22/W22</f>
        <v>1.12531432054432</v>
      </c>
      <c r="Z22" s="193" t="n">
        <f aca="false">26164+6675</f>
        <v>32839</v>
      </c>
      <c r="AA22" s="193" t="n">
        <f aca="false">30332+8712</f>
        <v>39044</v>
      </c>
      <c r="AB22" s="194" t="n">
        <f aca="false">AA22/Z22</f>
        <v>1.18895216054082</v>
      </c>
    </row>
    <row r="23" customFormat="false" ht="22.5" hidden="false" customHeight="true" outlineLevel="0" collapsed="false">
      <c r="A23" s="205"/>
      <c r="B23" s="206" t="n">
        <v>0.2</v>
      </c>
      <c r="C23" s="206" t="n">
        <v>-7.7</v>
      </c>
      <c r="D23" s="206" t="n">
        <v>-7.9</v>
      </c>
      <c r="E23" s="207" t="n">
        <v>0.0819672131147541</v>
      </c>
      <c r="F23" s="207" t="n">
        <v>0.0820932134096437</v>
      </c>
      <c r="G23" s="207" t="n">
        <v>-0.24529844644317</v>
      </c>
      <c r="H23" s="207" t="n">
        <v>-10.8828828828829</v>
      </c>
      <c r="I23" s="207" t="n">
        <v>-10.211077741576</v>
      </c>
      <c r="J23" s="207" t="n">
        <v>1.00172775061573</v>
      </c>
      <c r="K23" s="207" t="n">
        <v>24.3465794213873</v>
      </c>
      <c r="L23" s="207" t="n">
        <v>34.7054648687012</v>
      </c>
      <c r="M23" s="207" t="n">
        <v>8.33065573296515</v>
      </c>
      <c r="N23" s="207" t="n">
        <v>8.74770886300479</v>
      </c>
      <c r="O23" s="207" t="n">
        <v>12.598957066818</v>
      </c>
      <c r="P23" s="207" t="n">
        <v>3.54145226973453</v>
      </c>
      <c r="Q23" s="207" t="n">
        <v>-4.8568452711215</v>
      </c>
      <c r="R23" s="207" t="n">
        <v>-1.97683065186706</v>
      </c>
      <c r="S23" s="207" t="n">
        <v>3.02703292471371</v>
      </c>
      <c r="T23" s="207" t="n">
        <f aca="false">(T22/Q22-1)*100</f>
        <v>-3.33274993001383</v>
      </c>
      <c r="U23" s="207" t="n">
        <f aca="false">(U22/R22-1)*100</f>
        <v>-1.44473208635497</v>
      </c>
      <c r="V23" s="207" t="n">
        <f aca="false">(V22/S22-1)*100</f>
        <v>1.95331270919872</v>
      </c>
      <c r="W23" s="207" t="n">
        <f aca="false">(W22/T22-1)*100</f>
        <v>7.17611137384724</v>
      </c>
      <c r="X23" s="207" t="n">
        <f aca="false">(X22/U22-1)*100</f>
        <v>1.3504643740385</v>
      </c>
      <c r="Y23" s="207" t="n">
        <f aca="false">(Y22/V22-1)*100</f>
        <v>-5.43577138283045</v>
      </c>
      <c r="Z23" s="207" t="n">
        <f aca="false">(Z22/W22-1)*100</f>
        <v>-9.43419413366122</v>
      </c>
      <c r="AA23" s="207" t="n">
        <f aca="false">(AA22/X22-1)*100</f>
        <v>-4.31259196646528</v>
      </c>
      <c r="AB23" s="207" t="n">
        <f aca="false">(AB22/Y22-1)*100</f>
        <v>5.65511687132188</v>
      </c>
    </row>
    <row r="24" customFormat="false" ht="22.5" hidden="false" customHeight="true" outlineLevel="0" collapsed="false">
      <c r="A24" s="205" t="s">
        <v>136</v>
      </c>
      <c r="B24" s="206" t="n">
        <f aca="false">B8+B10+B12+B14+B16+B18+B20+B22</f>
        <v>325200</v>
      </c>
      <c r="C24" s="206" t="n">
        <v>351895</v>
      </c>
      <c r="D24" s="207" t="n">
        <v>1.08208794587946</v>
      </c>
      <c r="E24" s="206" t="n">
        <v>325473</v>
      </c>
      <c r="F24" s="206" t="n">
        <v>353148.1</v>
      </c>
      <c r="G24" s="207" t="n">
        <v>1.08503040190738</v>
      </c>
      <c r="H24" s="206" t="n">
        <v>306072</v>
      </c>
      <c r="I24" s="206" t="n">
        <v>361595.8</v>
      </c>
      <c r="J24" s="207" t="n">
        <v>1.18140764264617</v>
      </c>
      <c r="K24" s="206" t="n">
        <v>331740</v>
      </c>
      <c r="L24" s="206" t="n">
        <v>381987</v>
      </c>
      <c r="M24" s="207" t="n">
        <v>1.15146500271297</v>
      </c>
      <c r="N24" s="206" t="n">
        <v>340692</v>
      </c>
      <c r="O24" s="206" t="n">
        <v>404210</v>
      </c>
      <c r="P24" s="207" t="n">
        <v>1.18643819050638</v>
      </c>
      <c r="Q24" s="208" t="n">
        <v>336474</v>
      </c>
      <c r="R24" s="208" t="n">
        <v>397143</v>
      </c>
      <c r="S24" s="207" t="n">
        <v>1.18030813673568</v>
      </c>
      <c r="T24" s="206" t="n">
        <v>334550</v>
      </c>
      <c r="U24" s="206" t="n">
        <v>408371</v>
      </c>
      <c r="V24" s="207" t="n">
        <v>1.22</v>
      </c>
      <c r="W24" s="206" t="n">
        <v>296257</v>
      </c>
      <c r="X24" s="206" t="n">
        <v>340206</v>
      </c>
      <c r="Y24" s="207" t="n">
        <v>1.15</v>
      </c>
      <c r="Z24" s="193" t="n">
        <f aca="false">Z8+Z10+Z12+Z14+Z16+Z18+Z20+Z22</f>
        <v>258300</v>
      </c>
      <c r="AA24" s="193" t="n">
        <f aca="false">AA8+AA10+AA12+AA14+AA16+AA18+AA20+AA22</f>
        <v>276521</v>
      </c>
      <c r="AB24" s="194" t="n">
        <f aca="false">AA24/Z24</f>
        <v>1.07054200542005</v>
      </c>
    </row>
    <row r="25" customFormat="false" ht="22.5" hidden="false" customHeight="true" outlineLevel="0" collapsed="false">
      <c r="A25" s="205"/>
      <c r="B25" s="206" t="n">
        <v>-0.06</v>
      </c>
      <c r="C25" s="206" t="n">
        <v>-0.6</v>
      </c>
      <c r="D25" s="206" t="n">
        <v>-0.5</v>
      </c>
      <c r="E25" s="207" t="n">
        <v>0.0839483394833948</v>
      </c>
      <c r="F25" s="207" t="n">
        <v>0.356100541354659</v>
      </c>
      <c r="G25" s="207" t="n">
        <v>0.271923926250516</v>
      </c>
      <c r="H25" s="207" t="n">
        <v>-5.96086311306929</v>
      </c>
      <c r="I25" s="207" t="n">
        <v>2.39211254428385</v>
      </c>
      <c r="J25" s="207" t="n">
        <v>8.88244611112972</v>
      </c>
      <c r="K25" s="207" t="n">
        <v>8.38626205598683</v>
      </c>
      <c r="L25" s="207" t="n">
        <v>5.63922479188087</v>
      </c>
      <c r="M25" s="207" t="n">
        <v>-2.53448842316102</v>
      </c>
      <c r="N25" s="207" t="n">
        <v>2.69849882438054</v>
      </c>
      <c r="O25" s="207" t="n">
        <v>5.81773725283845</v>
      </c>
      <c r="P25" s="207" t="n">
        <v>3.03727753001722</v>
      </c>
      <c r="Q25" s="207" t="n">
        <v>-1.23806840195837</v>
      </c>
      <c r="R25" s="207" t="n">
        <v>-1.74834863066228</v>
      </c>
      <c r="S25" s="207" t="n">
        <v>-0.516677043924926</v>
      </c>
      <c r="T25" s="207" t="n">
        <f aca="false">(T24/Q24-1)*100</f>
        <v>-0.571812383720582</v>
      </c>
      <c r="U25" s="207" t="n">
        <f aca="false">(U24/R24-1)*100</f>
        <v>2.82719322762834</v>
      </c>
      <c r="V25" s="207" t="n">
        <f aca="false">(V24/S24-1)*100</f>
        <v>3.36283907811512</v>
      </c>
      <c r="W25" s="207" t="n">
        <f aca="false">(W24/T24-1)*100</f>
        <v>-11.4461216559558</v>
      </c>
      <c r="X25" s="207" t="n">
        <f aca="false">(X24/U24-1)*100</f>
        <v>-16.6919296424085</v>
      </c>
      <c r="Y25" s="207" t="n">
        <f aca="false">(Y24/V24-1)*100</f>
        <v>-5.73770491803279</v>
      </c>
      <c r="Z25" s="207" t="n">
        <f aca="false">(Z24/W24-1)*100</f>
        <v>-12.8121867162632</v>
      </c>
      <c r="AA25" s="207" t="n">
        <f aca="false">(AA24/X24-1)*100</f>
        <v>-18.7195405136888</v>
      </c>
      <c r="AB25" s="207" t="n">
        <f aca="false">(AB24/Y24-1)*100</f>
        <v>-6.90939083303875</v>
      </c>
    </row>
    <row r="26" customFormat="false" ht="15" hidden="false" customHeight="false" outlineLevel="0" collapsed="false">
      <c r="A26" s="210" t="s">
        <v>137</v>
      </c>
      <c r="B26" s="210"/>
      <c r="C26" s="210"/>
      <c r="D26" s="210"/>
      <c r="E26" s="210"/>
      <c r="F26" s="210"/>
      <c r="G26" s="210"/>
      <c r="H26" s="210"/>
      <c r="I26" s="210"/>
      <c r="J26" s="210"/>
      <c r="K26" s="211"/>
      <c r="L26" s="211"/>
      <c r="M26" s="211"/>
      <c r="N26" s="211"/>
      <c r="O26" s="211"/>
      <c r="P26" s="211"/>
    </row>
    <row r="27" customFormat="false" ht="15" hidden="false" customHeight="false" outlineLevel="0" collapsed="false">
      <c r="A27" s="210" t="s">
        <v>138</v>
      </c>
      <c r="B27" s="210"/>
      <c r="C27" s="210"/>
      <c r="D27" s="210"/>
      <c r="E27" s="210"/>
      <c r="F27" s="210"/>
      <c r="G27" s="210"/>
      <c r="H27" s="210"/>
      <c r="I27" s="210"/>
      <c r="J27" s="210"/>
      <c r="K27" s="211"/>
      <c r="L27" s="211"/>
      <c r="M27" s="211"/>
      <c r="N27" s="211"/>
      <c r="O27" s="211"/>
      <c r="P27" s="211"/>
      <c r="W27" s="179" t="n">
        <f aca="false">29700+6560</f>
        <v>36260</v>
      </c>
    </row>
  </sheetData>
  <mergeCells count="26">
    <mergeCell ref="A1:S1"/>
    <mergeCell ref="Q2:S2"/>
    <mergeCell ref="Q3:S3"/>
    <mergeCell ref="Q4:S4"/>
    <mergeCell ref="A5:A7"/>
    <mergeCell ref="B5:AB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J26"/>
    <mergeCell ref="A27:J27"/>
  </mergeCells>
  <printOptions headings="false" gridLines="false" gridLinesSet="true" horizontalCentered="true" verticalCentered="false"/>
  <pageMargins left="0.9" right="0.9" top="0.8" bottom="1.2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2"/>
  <sheetViews>
    <sheetView showFormulas="false" showGridLines="false" showRowColHeaders="true" showZeros="true" rightToLeft="false" tabSelected="false" showOutlineSymbols="true" defaultGridColor="true" view="normal" topLeftCell="I1" colorId="64" zoomScale="120" zoomScaleNormal="120" zoomScalePageLayoutView="100" workbookViewId="0">
      <selection pane="topLeft" activeCell="X22" activeCellId="0" sqref="X22"/>
    </sheetView>
  </sheetViews>
  <sheetFormatPr defaultColWidth="7.78125" defaultRowHeight="15" customHeight="false" zeroHeight="false" outlineLevelRow="0" outlineLevelCol="0"/>
  <cols>
    <col collapsed="false" customWidth="true" hidden="false" outlineLevel="0" max="1" min="1" style="179" width="7.44"/>
    <col collapsed="false" customWidth="true" hidden="false" outlineLevel="0" max="2" min="2" style="179" width="8.22"/>
    <col collapsed="false" customWidth="true" hidden="false" outlineLevel="0" max="3" min="3" style="179" width="9.44"/>
    <col collapsed="false" customWidth="true" hidden="false" outlineLevel="0" max="4" min="4" style="179" width="8.67"/>
    <col collapsed="false" customWidth="true" hidden="false" outlineLevel="0" max="5" min="5" style="179" width="8.22"/>
    <col collapsed="false" customWidth="true" hidden="false" outlineLevel="0" max="6" min="6" style="179" width="9.44"/>
    <col collapsed="false" customWidth="true" hidden="false" outlineLevel="0" max="7" min="7" style="179" width="8.67"/>
    <col collapsed="false" customWidth="true" hidden="false" outlineLevel="0" max="8" min="8" style="179" width="8.22"/>
    <col collapsed="false" customWidth="true" hidden="false" outlineLevel="0" max="9" min="9" style="179" width="9.44"/>
    <col collapsed="false" customWidth="true" hidden="false" outlineLevel="0" max="10" min="10" style="179" width="8.88"/>
    <col collapsed="false" customWidth="true" hidden="false" outlineLevel="0" max="11" min="11" style="179" width="8.22"/>
    <col collapsed="false" customWidth="true" hidden="false" outlineLevel="0" max="12" min="12" style="179" width="9.44"/>
    <col collapsed="false" customWidth="true" hidden="false" outlineLevel="0" max="16" min="13" style="179" width="9.11"/>
    <col collapsed="false" customWidth="true" hidden="false" outlineLevel="0" max="17" min="17" style="179" width="9.33"/>
    <col collapsed="false" customWidth="true" hidden="false" outlineLevel="0" max="18" min="18" style="179" width="8.11"/>
    <col collapsed="false" customWidth="true" hidden="false" outlineLevel="0" max="19" min="19" style="179" width="9.11"/>
    <col collapsed="false" customWidth="false" hidden="false" outlineLevel="0" max="16384" min="20" style="179" width="7.78"/>
  </cols>
  <sheetData>
    <row r="1" customFormat="false" ht="39.75" hidden="false" customHeight="true" outlineLevel="0" collapsed="false">
      <c r="A1" s="197" t="s">
        <v>139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</row>
    <row r="2" customFormat="false" ht="15" hidden="false" customHeight="false" outlineLevel="0" collapsed="false">
      <c r="A2" s="212"/>
      <c r="J2" s="213"/>
      <c r="K2" s="213"/>
      <c r="Q2" s="214" t="s">
        <v>123</v>
      </c>
      <c r="R2" s="214"/>
      <c r="S2" s="214"/>
    </row>
    <row r="3" customFormat="false" ht="15" hidden="false" customHeight="false" outlineLevel="0" collapsed="false">
      <c r="A3" s="212"/>
      <c r="I3" s="213"/>
      <c r="J3" s="213"/>
      <c r="K3" s="213"/>
      <c r="Q3" s="214" t="s">
        <v>140</v>
      </c>
      <c r="R3" s="214"/>
      <c r="S3" s="214"/>
    </row>
    <row r="4" customFormat="false" ht="15" hidden="false" customHeight="false" outlineLevel="0" collapsed="false">
      <c r="A4" s="212"/>
      <c r="I4" s="213"/>
      <c r="J4" s="213"/>
      <c r="K4" s="213"/>
      <c r="Q4" s="214" t="s">
        <v>141</v>
      </c>
      <c r="R4" s="214"/>
      <c r="S4" s="214"/>
    </row>
    <row r="5" customFormat="false" ht="15" hidden="false" customHeight="true" outlineLevel="0" collapsed="false">
      <c r="A5" s="201" t="s">
        <v>142</v>
      </c>
      <c r="B5" s="215" t="s">
        <v>143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</row>
    <row r="6" customFormat="false" ht="18" hidden="false" customHeight="true" outlineLevel="0" collapsed="false">
      <c r="A6" s="201"/>
      <c r="B6" s="216" t="s">
        <v>82</v>
      </c>
      <c r="C6" s="216"/>
      <c r="D6" s="216"/>
      <c r="E6" s="216" t="s">
        <v>83</v>
      </c>
      <c r="F6" s="216"/>
      <c r="G6" s="216"/>
      <c r="H6" s="216" t="s">
        <v>84</v>
      </c>
      <c r="I6" s="216"/>
      <c r="J6" s="216"/>
      <c r="K6" s="216" t="s">
        <v>85</v>
      </c>
      <c r="L6" s="216"/>
      <c r="M6" s="216"/>
      <c r="N6" s="216" t="s">
        <v>86</v>
      </c>
      <c r="O6" s="216"/>
      <c r="P6" s="216"/>
      <c r="Q6" s="216" t="s">
        <v>87</v>
      </c>
      <c r="R6" s="216"/>
      <c r="S6" s="216"/>
      <c r="T6" s="216" t="s">
        <v>88</v>
      </c>
      <c r="U6" s="216"/>
      <c r="V6" s="216"/>
      <c r="W6" s="216" t="s">
        <v>89</v>
      </c>
      <c r="X6" s="216"/>
      <c r="Y6" s="216"/>
      <c r="Z6" s="216" t="s">
        <v>90</v>
      </c>
      <c r="AA6" s="216"/>
      <c r="AB6" s="216"/>
    </row>
    <row r="7" customFormat="false" ht="17.25" hidden="false" customHeight="true" outlineLevel="0" collapsed="false">
      <c r="A7" s="201"/>
      <c r="B7" s="217" t="s">
        <v>24</v>
      </c>
      <c r="C7" s="217" t="s">
        <v>26</v>
      </c>
      <c r="D7" s="217" t="s">
        <v>127</v>
      </c>
      <c r="E7" s="217" t="s">
        <v>24</v>
      </c>
      <c r="F7" s="217" t="s">
        <v>26</v>
      </c>
      <c r="G7" s="217" t="s">
        <v>127</v>
      </c>
      <c r="H7" s="217" t="s">
        <v>24</v>
      </c>
      <c r="I7" s="217" t="s">
        <v>26</v>
      </c>
      <c r="J7" s="217" t="s">
        <v>127</v>
      </c>
      <c r="K7" s="217" t="s">
        <v>24</v>
      </c>
      <c r="L7" s="217" t="s">
        <v>26</v>
      </c>
      <c r="M7" s="217" t="s">
        <v>127</v>
      </c>
      <c r="N7" s="217" t="s">
        <v>24</v>
      </c>
      <c r="O7" s="217" t="s">
        <v>26</v>
      </c>
      <c r="P7" s="217" t="s">
        <v>127</v>
      </c>
      <c r="Q7" s="217" t="s">
        <v>24</v>
      </c>
      <c r="R7" s="217" t="s">
        <v>26</v>
      </c>
      <c r="S7" s="217" t="s">
        <v>127</v>
      </c>
      <c r="T7" s="217" t="s">
        <v>24</v>
      </c>
      <c r="U7" s="217" t="s">
        <v>26</v>
      </c>
      <c r="V7" s="217" t="s">
        <v>127</v>
      </c>
      <c r="W7" s="217" t="s">
        <v>24</v>
      </c>
      <c r="X7" s="217" t="s">
        <v>26</v>
      </c>
      <c r="Y7" s="217" t="s">
        <v>127</v>
      </c>
      <c r="Z7" s="217" t="s">
        <v>24</v>
      </c>
      <c r="AA7" s="217" t="s">
        <v>26</v>
      </c>
      <c r="AB7" s="217" t="s">
        <v>127</v>
      </c>
    </row>
    <row r="8" customFormat="false" ht="12.75" hidden="false" customHeight="true" outlineLevel="0" collapsed="false">
      <c r="A8" s="201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</row>
    <row r="9" customFormat="false" ht="22.5" hidden="false" customHeight="true" outlineLevel="0" collapsed="false">
      <c r="A9" s="218" t="s">
        <v>144</v>
      </c>
      <c r="B9" s="219" t="n">
        <v>15700</v>
      </c>
      <c r="C9" s="219" t="n">
        <v>12120</v>
      </c>
      <c r="D9" s="220" t="n">
        <v>0.771974522292994</v>
      </c>
      <c r="E9" s="219" t="n">
        <v>16642</v>
      </c>
      <c r="F9" s="219" t="n">
        <v>12847</v>
      </c>
      <c r="G9" s="220" t="n">
        <v>0.77196250450667</v>
      </c>
      <c r="H9" s="219" t="n">
        <v>18000</v>
      </c>
      <c r="I9" s="219" t="n">
        <v>6500</v>
      </c>
      <c r="J9" s="220" t="n">
        <v>0.361111111111111</v>
      </c>
      <c r="K9" s="219" t="n">
        <v>15055</v>
      </c>
      <c r="L9" s="219" t="n">
        <v>7954.11370974165</v>
      </c>
      <c r="M9" s="220" t="n">
        <v>0.528337011606885</v>
      </c>
      <c r="N9" s="219" t="n">
        <v>16565</v>
      </c>
      <c r="O9" s="219" t="n">
        <v>9545</v>
      </c>
      <c r="P9" s="220" t="n">
        <v>0.576214910956837</v>
      </c>
      <c r="Q9" s="219" t="n">
        <v>15668.1578746917</v>
      </c>
      <c r="R9" s="219" t="n">
        <v>8288.50688455399</v>
      </c>
      <c r="S9" s="220" t="n">
        <v>0.529003278550197</v>
      </c>
      <c r="T9" s="219" t="n">
        <v>15975</v>
      </c>
      <c r="U9" s="219" t="n">
        <v>8714</v>
      </c>
      <c r="V9" s="220" t="n">
        <v>0.55</v>
      </c>
      <c r="W9" s="221" t="n">
        <v>15974.8361111111</v>
      </c>
      <c r="X9" s="221" t="n">
        <v>8674.16511111111</v>
      </c>
      <c r="Y9" s="222" t="n">
        <v>0.542989302098561</v>
      </c>
      <c r="Z9" s="223" t="n">
        <v>16382</v>
      </c>
      <c r="AA9" s="223" t="n">
        <v>8808</v>
      </c>
      <c r="AB9" s="223" t="n">
        <v>0.54</v>
      </c>
    </row>
    <row r="10" customFormat="false" ht="22.5" hidden="false" customHeight="true" outlineLevel="0" collapsed="false">
      <c r="A10" s="218"/>
      <c r="B10" s="219" t="n">
        <v>20.7</v>
      </c>
      <c r="C10" s="219" t="n">
        <v>57.4</v>
      </c>
      <c r="D10" s="219" t="n">
        <v>46.3</v>
      </c>
      <c r="E10" s="219" t="n">
        <v>6</v>
      </c>
      <c r="F10" s="219" t="n">
        <v>5.9983498349835</v>
      </c>
      <c r="G10" s="219" t="n">
        <v>-0.00155675944952986</v>
      </c>
      <c r="H10" s="219" t="n">
        <v>8.16007691383247</v>
      </c>
      <c r="I10" s="219" t="n">
        <v>-49.4045302405231</v>
      </c>
      <c r="J10" s="219" t="n">
        <v>-53.2216773479325</v>
      </c>
      <c r="K10" s="219" t="n">
        <v>-16.3611111111111</v>
      </c>
      <c r="L10" s="219" t="n">
        <v>22.3709801498716</v>
      </c>
      <c r="M10" s="219" t="n">
        <v>46.308710906522</v>
      </c>
      <c r="N10" s="219" t="n">
        <v>10.0298904018598</v>
      </c>
      <c r="O10" s="219" t="n">
        <v>20.0007989364037</v>
      </c>
      <c r="P10" s="219" t="n">
        <v>9.06199987851235</v>
      </c>
      <c r="Q10" s="220" t="n">
        <v>-5.41407863150198</v>
      </c>
      <c r="R10" s="220" t="n">
        <v>-13.1638880612469</v>
      </c>
      <c r="S10" s="220" t="n">
        <v>-8.19340692316392</v>
      </c>
      <c r="T10" s="220" t="n">
        <f aca="false">(T9/Q9-1)*100</f>
        <v>1.95838035180851</v>
      </c>
      <c r="U10" s="220" t="n">
        <f aca="false">(U9/R9-1)*100</f>
        <v>5.13353154400988</v>
      </c>
      <c r="V10" s="220" t="n">
        <f aca="false">(V9/S9-1)*100</f>
        <v>3.9691098904618</v>
      </c>
      <c r="W10" s="220" t="n">
        <f aca="false">(W9/T9-1)*100</f>
        <v>-0.00102590853771067</v>
      </c>
      <c r="X10" s="220" t="n">
        <f aca="false">(X9/U9-1)*100</f>
        <v>-0.45713666386149</v>
      </c>
      <c r="Y10" s="220" t="n">
        <f aca="false">(Y9/V9-1)*100</f>
        <v>-1.27467234571619</v>
      </c>
      <c r="Z10" s="220" t="n">
        <f aca="false">(Z9/W9-1)*100</f>
        <v>2.54878288613991</v>
      </c>
      <c r="AA10" s="220" t="n">
        <f aca="false">(AA9/X9-1)*100</f>
        <v>1.54291378103302</v>
      </c>
      <c r="AB10" s="220" t="n">
        <f aca="false">(AB9/Y9-1)*100</f>
        <v>-0.550526886442848</v>
      </c>
    </row>
    <row r="11" customFormat="false" ht="22.5" hidden="false" customHeight="true" outlineLevel="0" collapsed="false">
      <c r="A11" s="218" t="s">
        <v>145</v>
      </c>
      <c r="B11" s="219" t="n">
        <v>23855</v>
      </c>
      <c r="C11" s="219" t="n">
        <v>263140</v>
      </c>
      <c r="D11" s="220" t="n">
        <v>11.0308111507022</v>
      </c>
      <c r="E11" s="219" t="n">
        <v>24300</v>
      </c>
      <c r="F11" s="219" t="n">
        <v>289952</v>
      </c>
      <c r="G11" s="220" t="n">
        <v>11.9321810699588</v>
      </c>
      <c r="H11" s="219" t="n">
        <v>23000</v>
      </c>
      <c r="I11" s="219" t="n">
        <v>284000</v>
      </c>
      <c r="J11" s="220" t="n">
        <v>12.3478260869565</v>
      </c>
      <c r="K11" s="219" t="n">
        <v>22132.1226774385</v>
      </c>
      <c r="L11" s="219" t="n">
        <v>297512</v>
      </c>
      <c r="M11" s="219" t="n">
        <v>13.4425425132531</v>
      </c>
      <c r="N11" s="219" t="n">
        <v>23500</v>
      </c>
      <c r="O11" s="219" t="n">
        <v>298945</v>
      </c>
      <c r="P11" s="219" t="n">
        <v>12.7210638297872</v>
      </c>
      <c r="Q11" s="219" t="n">
        <v>21911.9625289499</v>
      </c>
      <c r="R11" s="219" t="n">
        <v>279206.2849046</v>
      </c>
      <c r="S11" s="220" t="n">
        <v>12.7421852121057</v>
      </c>
      <c r="T11" s="219" t="n">
        <v>22441</v>
      </c>
      <c r="U11" s="219" t="n">
        <v>287813</v>
      </c>
      <c r="V11" s="220" t="n">
        <v>12.83</v>
      </c>
      <c r="W11" s="221" t="n">
        <v>23829.3319444444</v>
      </c>
      <c r="X11" s="221" t="n">
        <v>309533.180029556</v>
      </c>
      <c r="Y11" s="222" t="n">
        <v>12.9895869825977</v>
      </c>
      <c r="Z11" s="223" t="n">
        <v>22430</v>
      </c>
      <c r="AA11" s="223" t="n">
        <v>289330</v>
      </c>
      <c r="AB11" s="223" t="n">
        <v>12.9</v>
      </c>
    </row>
    <row r="12" customFormat="false" ht="22.5" hidden="false" customHeight="true" outlineLevel="0" collapsed="false">
      <c r="A12" s="218"/>
      <c r="B12" s="219" t="n">
        <v>0.1</v>
      </c>
      <c r="C12" s="219" t="n">
        <v>7.8</v>
      </c>
      <c r="D12" s="219" t="n">
        <v>7.7</v>
      </c>
      <c r="E12" s="219" t="n">
        <v>1.86543701530078</v>
      </c>
      <c r="F12" s="219" t="n">
        <v>10.1892528691951</v>
      </c>
      <c r="G12" s="219" t="n">
        <v>8.17138383517075</v>
      </c>
      <c r="H12" s="219" t="n">
        <v>-5.34979423868313</v>
      </c>
      <c r="I12" s="219" t="n">
        <v>-2.0527535592098</v>
      </c>
      <c r="J12" s="219" t="n">
        <v>3.48339515266095</v>
      </c>
      <c r="K12" s="219" t="n">
        <v>-3.77337966331097</v>
      </c>
      <c r="L12" s="219" t="n">
        <v>4.75774647887324</v>
      </c>
      <c r="M12" s="219" t="n">
        <v>8.86566119888083</v>
      </c>
      <c r="N12" s="219" t="n">
        <v>6.18050668929257</v>
      </c>
      <c r="O12" s="219" t="n">
        <v>0.481661243916212</v>
      </c>
      <c r="P12" s="219" t="n">
        <v>1.04101532793673</v>
      </c>
      <c r="Q12" s="220" t="n">
        <v>-6.75760625978762</v>
      </c>
      <c r="R12" s="220" t="n">
        <v>-6.60279151529544</v>
      </c>
      <c r="S12" s="220" t="n">
        <v>0.166034716915914</v>
      </c>
      <c r="T12" s="220" t="n">
        <f aca="false">(T11/Q11-1)*100</f>
        <v>2.41437739933672</v>
      </c>
      <c r="U12" s="220" t="n">
        <f aca="false">(U11/R11-1)*100</f>
        <v>3.08256495670962</v>
      </c>
      <c r="V12" s="220" t="n">
        <f aca="false">(V11/S11-1)*100</f>
        <v>0.689165841121753</v>
      </c>
      <c r="W12" s="220" t="n">
        <f aca="false">(W11/T11-1)*100</f>
        <v>6.18658680292499</v>
      </c>
      <c r="X12" s="220" t="n">
        <f aca="false">(X11/U11-1)*100</f>
        <v>7.5466292452238</v>
      </c>
      <c r="Y12" s="220" t="n">
        <f aca="false">(Y11/V11-1)*100</f>
        <v>1.24385800933515</v>
      </c>
      <c r="Z12" s="220" t="n">
        <f aca="false">(Z11/W11-1)*100</f>
        <v>-5.87230874833922</v>
      </c>
      <c r="AA12" s="220" t="n">
        <f aca="false">(AA11/X11-1)*100</f>
        <v>-6.52698364279618</v>
      </c>
      <c r="AB12" s="220" t="n">
        <f aca="false">(AB11/Y11-1)*100</f>
        <v>-0.68968307243118</v>
      </c>
    </row>
    <row r="13" customFormat="false" ht="22.5" hidden="false" customHeight="true" outlineLevel="0" collapsed="false">
      <c r="A13" s="218" t="s">
        <v>146</v>
      </c>
      <c r="B13" s="219" t="n">
        <v>7205</v>
      </c>
      <c r="C13" s="219" t="n">
        <v>45390</v>
      </c>
      <c r="D13" s="220" t="n">
        <v>6.29979181124219</v>
      </c>
      <c r="E13" s="219" t="n">
        <v>7320</v>
      </c>
      <c r="F13" s="219" t="n">
        <v>47203</v>
      </c>
      <c r="G13" s="220" t="n">
        <v>6.44849726775956</v>
      </c>
      <c r="H13" s="219" t="n">
        <v>8500</v>
      </c>
      <c r="I13" s="219" t="n">
        <v>59500</v>
      </c>
      <c r="J13" s="220" t="n">
        <v>7</v>
      </c>
      <c r="K13" s="219" t="n">
        <v>10106.7826515453</v>
      </c>
      <c r="L13" s="219" t="n">
        <v>71902.3245403336</v>
      </c>
      <c r="M13" s="220" t="n">
        <v>7.11426445183718</v>
      </c>
      <c r="N13" s="219" t="n">
        <v>10185</v>
      </c>
      <c r="O13" s="219" t="n">
        <v>73859</v>
      </c>
      <c r="P13" s="220" t="n">
        <v>7.25174275895925</v>
      </c>
      <c r="Q13" s="219" t="n">
        <v>9784.25</v>
      </c>
      <c r="R13" s="219" t="n">
        <v>72489.61</v>
      </c>
      <c r="S13" s="220" t="n">
        <v>7.40880598921737</v>
      </c>
      <c r="T13" s="219" t="n">
        <v>9943</v>
      </c>
      <c r="U13" s="219" t="n">
        <v>74763</v>
      </c>
      <c r="V13" s="220" t="n">
        <v>7.52</v>
      </c>
      <c r="W13" s="221" t="n">
        <v>9570.1</v>
      </c>
      <c r="X13" s="221" t="n">
        <v>73567.1320288714</v>
      </c>
      <c r="Y13" s="222" t="n">
        <f aca="false">X13/W13</f>
        <v>7.68718529888626</v>
      </c>
      <c r="Z13" s="223" t="n">
        <v>9558.3</v>
      </c>
      <c r="AA13" s="223" t="n">
        <v>72359.1</v>
      </c>
      <c r="AB13" s="223" t="n">
        <v>7.57</v>
      </c>
    </row>
    <row r="14" customFormat="false" ht="22.5" hidden="false" customHeight="true" outlineLevel="0" collapsed="false">
      <c r="A14" s="218"/>
      <c r="B14" s="219" t="n">
        <v>1.2</v>
      </c>
      <c r="C14" s="219" t="n">
        <v>1.5</v>
      </c>
      <c r="D14" s="219" t="n">
        <v>0.3</v>
      </c>
      <c r="E14" s="219" t="n">
        <v>1.59611380985427</v>
      </c>
      <c r="F14" s="219" t="n">
        <v>3.99427186604979</v>
      </c>
      <c r="G14" s="219" t="n">
        <v>2.36048207580446</v>
      </c>
      <c r="H14" s="219" t="n">
        <v>16.120218579235</v>
      </c>
      <c r="I14" s="219" t="n">
        <v>26.0513102980743</v>
      </c>
      <c r="J14" s="219" t="n">
        <v>8.55242251551809</v>
      </c>
      <c r="K14" s="219" t="n">
        <v>18.9033253122979</v>
      </c>
      <c r="L14" s="219" t="n">
        <v>20.8442429249305</v>
      </c>
      <c r="M14" s="219" t="n">
        <v>1.63234931195972</v>
      </c>
      <c r="N14" s="219" t="n">
        <v>0.773909473978005</v>
      </c>
      <c r="O14" s="219" t="n">
        <v>2.72129652577333</v>
      </c>
      <c r="P14" s="219" t="n">
        <v>3.30117890255348</v>
      </c>
      <c r="Q14" s="220" t="n">
        <v>-3.93470790378007</v>
      </c>
      <c r="R14" s="220" t="n">
        <v>-1.85405976252048</v>
      </c>
      <c r="S14" s="220" t="n">
        <v>2.16586875015755</v>
      </c>
      <c r="T14" s="220" t="n">
        <f aca="false">(T13/Q13-1)*100</f>
        <v>1.62250555740093</v>
      </c>
      <c r="U14" s="220" t="n">
        <f aca="false">(U13/R13-1)*100</f>
        <v>3.13615978896837</v>
      </c>
      <c r="V14" s="220" t="n">
        <f aca="false">(V13/S13-1)*100</f>
        <v>1.50083577494753</v>
      </c>
      <c r="W14" s="220" t="n">
        <f aca="false">(W13/T13-1)*100</f>
        <v>-3.75037714975359</v>
      </c>
      <c r="X14" s="220" t="n">
        <f aca="false">(X13/U13-1)*100</f>
        <v>-1.59954519097494</v>
      </c>
      <c r="Y14" s="220" t="n">
        <f aca="false">(Y13/V13-1)*100</f>
        <v>2.22320876178539</v>
      </c>
      <c r="Z14" s="220" t="n">
        <f aca="false">(Z13/W13-1)*100</f>
        <v>-0.123300696962425</v>
      </c>
      <c r="AA14" s="220" t="n">
        <f aca="false">(AA13/X13-1)*100</f>
        <v>-1.64208117885757</v>
      </c>
      <c r="AB14" s="220" t="n">
        <f aca="false">(AB13/Y13-1)*100</f>
        <v>-1.52442401646333</v>
      </c>
    </row>
    <row r="15" customFormat="false" ht="22.5" hidden="false" customHeight="true" outlineLevel="0" collapsed="false">
      <c r="A15" s="218" t="s">
        <v>147</v>
      </c>
      <c r="B15" s="219" t="n">
        <v>7915</v>
      </c>
      <c r="C15" s="219" t="n">
        <v>72425</v>
      </c>
      <c r="D15" s="220" t="n">
        <v>9.15034744156665</v>
      </c>
      <c r="E15" s="219" t="n">
        <v>7990</v>
      </c>
      <c r="F15" s="219" t="n">
        <v>73307</v>
      </c>
      <c r="G15" s="220" t="n">
        <v>9.17484355444305</v>
      </c>
      <c r="H15" s="219" t="n">
        <v>7300</v>
      </c>
      <c r="I15" s="219" t="n">
        <v>71500</v>
      </c>
      <c r="J15" s="220" t="n">
        <v>9.79452054794521</v>
      </c>
      <c r="K15" s="219" t="n">
        <v>10160.1718827745</v>
      </c>
      <c r="L15" s="219" t="n">
        <v>98904.4619425104</v>
      </c>
      <c r="M15" s="220" t="n">
        <v>9.73452645128893</v>
      </c>
      <c r="N15" s="219" t="n">
        <v>9795</v>
      </c>
      <c r="O15" s="219" t="n">
        <v>99907</v>
      </c>
      <c r="P15" s="220" t="n">
        <v>10.1997958141909</v>
      </c>
      <c r="Q15" s="219" t="n">
        <v>10340.4</v>
      </c>
      <c r="R15" s="219" t="n">
        <v>105719.2</v>
      </c>
      <c r="S15" s="220" t="n">
        <v>10.2238984952226</v>
      </c>
      <c r="T15" s="219" t="n">
        <v>10847</v>
      </c>
      <c r="U15" s="219" t="n">
        <v>111074</v>
      </c>
      <c r="V15" s="220" t="n">
        <v>10.24</v>
      </c>
      <c r="W15" s="221" t="n">
        <v>9022.4</v>
      </c>
      <c r="X15" s="221" t="n">
        <v>90427.8673837174</v>
      </c>
      <c r="Y15" s="222" t="n">
        <v>10.022595693354</v>
      </c>
      <c r="Z15" s="223" t="n">
        <v>8806.9</v>
      </c>
      <c r="AA15" s="223" t="n">
        <v>89840.2</v>
      </c>
      <c r="AB15" s="223" t="n">
        <v>10.2</v>
      </c>
    </row>
    <row r="16" customFormat="false" ht="22.5" hidden="false" customHeight="true" outlineLevel="0" collapsed="false">
      <c r="A16" s="218"/>
      <c r="B16" s="219" t="n">
        <v>0.5</v>
      </c>
      <c r="C16" s="219" t="n">
        <v>0.9</v>
      </c>
      <c r="D16" s="219" t="n">
        <v>0.4</v>
      </c>
      <c r="E16" s="219" t="n">
        <v>0.947567909033481</v>
      </c>
      <c r="F16" s="219" t="n">
        <v>1.2178115291681</v>
      </c>
      <c r="G16" s="219" t="n">
        <v>0.267706915314833</v>
      </c>
      <c r="H16" s="219" t="n">
        <v>-8.63579474342929</v>
      </c>
      <c r="I16" s="219" t="n">
        <v>-2.46497605958503</v>
      </c>
      <c r="J16" s="219" t="n">
        <v>6.75408784711173</v>
      </c>
      <c r="K16" s="219" t="n">
        <v>39.1804367503356</v>
      </c>
      <c r="L16" s="219" t="n">
        <v>38.3279188007139</v>
      </c>
      <c r="M16" s="219" t="n">
        <v>-0.612527140686431</v>
      </c>
      <c r="N16" s="219" t="n">
        <v>-3.59415064024269</v>
      </c>
      <c r="O16" s="219" t="n">
        <v>1.01364290123971</v>
      </c>
      <c r="P16" s="219" t="n">
        <v>4.77957880365486</v>
      </c>
      <c r="Q16" s="220" t="n">
        <v>5.56814701378254</v>
      </c>
      <c r="R16" s="220" t="n">
        <v>5.81761037765123</v>
      </c>
      <c r="S16" s="220" t="n">
        <v>0.236305524843706</v>
      </c>
      <c r="T16" s="220" t="n">
        <f aca="false">(T15/Q15-1)*100</f>
        <v>4.89923020386058</v>
      </c>
      <c r="U16" s="220" t="n">
        <f aca="false">(U15/R15-1)*100</f>
        <v>5.0651158919099</v>
      </c>
      <c r="V16" s="220" t="n">
        <f aca="false">(V15/S15-1)*100</f>
        <v>0.157488895111024</v>
      </c>
      <c r="W16" s="220" t="n">
        <f aca="false">(W15/T15-1)*100</f>
        <v>-16.8212408961003</v>
      </c>
      <c r="X16" s="220" t="n">
        <f aca="false">(X15/U15-1)*100</f>
        <v>-18.5877276556913</v>
      </c>
      <c r="Y16" s="220" t="n">
        <f aca="false">(Y15/V15-1)*100</f>
        <v>-2.12308893208983</v>
      </c>
      <c r="Z16" s="220" t="n">
        <f aca="false">(Z15/W15-1)*100</f>
        <v>-2.38849973399539</v>
      </c>
      <c r="AA16" s="220" t="n">
        <f aca="false">(AA15/X15-1)*100</f>
        <v>-0.649874204401746</v>
      </c>
      <c r="AB16" s="220" t="n">
        <f aca="false">(AB15/Y15-1)*100</f>
        <v>1.77004353037642</v>
      </c>
    </row>
    <row r="17" customFormat="false" ht="22.5" hidden="false" customHeight="true" outlineLevel="0" collapsed="false">
      <c r="A17" s="218" t="s">
        <v>148</v>
      </c>
      <c r="B17" s="219" t="n">
        <v>7700</v>
      </c>
      <c r="C17" s="219" t="n">
        <v>42350</v>
      </c>
      <c r="D17" s="220" t="n">
        <v>5.5</v>
      </c>
      <c r="E17" s="219" t="n">
        <v>7750</v>
      </c>
      <c r="F17" s="219" t="n">
        <v>42625</v>
      </c>
      <c r="G17" s="220" t="n">
        <v>5.5</v>
      </c>
      <c r="H17" s="219" t="n">
        <v>10500</v>
      </c>
      <c r="I17" s="219" t="n">
        <v>52500</v>
      </c>
      <c r="J17" s="220" t="n">
        <v>5</v>
      </c>
      <c r="K17" s="219" t="n">
        <v>10692.3745777471</v>
      </c>
      <c r="L17" s="219" t="n">
        <v>67166.7874305148</v>
      </c>
      <c r="M17" s="220" t="n">
        <v>6.28174657950182</v>
      </c>
      <c r="N17" s="219" t="n">
        <v>10276</v>
      </c>
      <c r="O17" s="219" t="n">
        <v>68025</v>
      </c>
      <c r="P17" s="220" t="n">
        <v>6.61979369404438</v>
      </c>
      <c r="Q17" s="219" t="n">
        <v>12525.4753268871</v>
      </c>
      <c r="R17" s="219" t="n">
        <v>87731.2578775437</v>
      </c>
      <c r="S17" s="220" t="n">
        <v>7.0042258347849</v>
      </c>
      <c r="T17" s="219" t="n">
        <v>12870</v>
      </c>
      <c r="U17" s="219" t="n">
        <v>83898</v>
      </c>
      <c r="V17" s="220" t="n">
        <v>6.52</v>
      </c>
      <c r="W17" s="221" t="n">
        <v>11348.55</v>
      </c>
      <c r="X17" s="221" t="n">
        <v>86992.0358070613</v>
      </c>
      <c r="Y17" s="222" t="n">
        <v>7.66547583674226</v>
      </c>
      <c r="Z17" s="223" t="n">
        <v>8382.5</v>
      </c>
      <c r="AA17" s="223" t="n">
        <v>45860.1</v>
      </c>
      <c r="AB17" s="223" t="n">
        <v>5.47</v>
      </c>
    </row>
    <row r="18" customFormat="false" ht="22.5" hidden="false" customHeight="true" outlineLevel="0" collapsed="false">
      <c r="A18" s="218"/>
      <c r="B18" s="219" t="n">
        <v>0.3</v>
      </c>
      <c r="C18" s="219" t="n">
        <v>5.1</v>
      </c>
      <c r="D18" s="219" t="n">
        <v>4.9</v>
      </c>
      <c r="E18" s="219" t="n">
        <v>0.649350649350649</v>
      </c>
      <c r="F18" s="219" t="n">
        <v>0.649350649350649</v>
      </c>
      <c r="G18" s="219" t="n">
        <v>0</v>
      </c>
      <c r="H18" s="219" t="n">
        <v>35.4838709677419</v>
      </c>
      <c r="I18" s="219" t="n">
        <v>23.1671554252199</v>
      </c>
      <c r="J18" s="219" t="n">
        <v>-9.09090909090909</v>
      </c>
      <c r="K18" s="219" t="n">
        <v>1.83213883568623</v>
      </c>
      <c r="L18" s="219" t="n">
        <v>27.9367379628853</v>
      </c>
      <c r="M18" s="219" t="n">
        <v>25.6349315900364</v>
      </c>
      <c r="N18" s="219" t="n">
        <v>-3.89412636752936</v>
      </c>
      <c r="O18" s="219" t="n">
        <v>1.27773353813157</v>
      </c>
      <c r="P18" s="219" t="n">
        <v>5.38141916844669</v>
      </c>
      <c r="Q18" s="220" t="n">
        <v>21.8905734418756</v>
      </c>
      <c r="R18" s="220" t="n">
        <v>28.969140577058</v>
      </c>
      <c r="S18" s="220" t="n">
        <v>5.80731301469991</v>
      </c>
      <c r="T18" s="220" t="n">
        <f aca="false">(T17/Q17-1)*100</f>
        <v>2.75059160727693</v>
      </c>
      <c r="U18" s="220" t="n">
        <f aca="false">(U17/R17-1)*100</f>
        <v>-4.3693182684035</v>
      </c>
      <c r="V18" s="220" t="n">
        <f aca="false">(V17/S17-1)*100</f>
        <v>-6.91333840750968</v>
      </c>
      <c r="W18" s="220" t="n">
        <f aca="false">(W17/T17-1)*100</f>
        <v>-11.8216783216783</v>
      </c>
      <c r="X18" s="220" t="n">
        <f aca="false">(X17/U17-1)*100</f>
        <v>3.68785406929999</v>
      </c>
      <c r="Y18" s="220" t="n">
        <f aca="false">(Y17/V17-1)*100</f>
        <v>17.5686478027954</v>
      </c>
      <c r="Z18" s="220" t="n">
        <f aca="false">(Z17/W17-1)*100</f>
        <v>-26.1359380713836</v>
      </c>
      <c r="AA18" s="220" t="n">
        <f aca="false">(AA17/X17-1)*100</f>
        <v>-47.2824154825936</v>
      </c>
      <c r="AB18" s="220" t="n">
        <f aca="false">(AB17/Y17-1)*100</f>
        <v>-28.6410900445198</v>
      </c>
    </row>
    <row r="19" customFormat="false" ht="22.5" hidden="false" customHeight="true" outlineLevel="0" collapsed="false">
      <c r="A19" s="224" t="s">
        <v>149</v>
      </c>
      <c r="B19" s="219" t="n">
        <v>62375</v>
      </c>
      <c r="C19" s="219" t="n">
        <v>435425</v>
      </c>
      <c r="D19" s="220" t="n">
        <v>6.98076152304609</v>
      </c>
      <c r="E19" s="219" t="n">
        <v>64002</v>
      </c>
      <c r="F19" s="219" t="n">
        <v>465934</v>
      </c>
      <c r="G19" s="220" t="n">
        <v>7.27999125027343</v>
      </c>
      <c r="H19" s="219" t="n">
        <v>67300</v>
      </c>
      <c r="I19" s="219" t="n">
        <v>474000</v>
      </c>
      <c r="J19" s="220" t="n">
        <v>7.04309063893016</v>
      </c>
      <c r="K19" s="219" t="n">
        <v>72398.5</v>
      </c>
      <c r="L19" s="219" t="n">
        <v>502765.5</v>
      </c>
      <c r="M19" s="220" t="n">
        <v>6.94441873795728</v>
      </c>
      <c r="N19" s="219" t="n">
        <v>70321</v>
      </c>
      <c r="O19" s="219" t="n">
        <v>550281</v>
      </c>
      <c r="P19" s="220" t="n">
        <v>7.82527267814735</v>
      </c>
      <c r="Q19" s="219" t="n">
        <v>73086</v>
      </c>
      <c r="R19" s="219" t="n">
        <v>585478.549</v>
      </c>
      <c r="S19" s="220" t="n">
        <v>8.01081669539994</v>
      </c>
      <c r="T19" s="219" t="n">
        <v>72076</v>
      </c>
      <c r="U19" s="219" t="n">
        <v>566262</v>
      </c>
      <c r="V19" s="220" t="n">
        <v>7.86</v>
      </c>
      <c r="W19" s="194" t="n">
        <v>69745.2180555556</v>
      </c>
      <c r="X19" s="194" t="n">
        <v>569194.380360317</v>
      </c>
      <c r="Y19" s="194" t="n">
        <v>8.16105241662482</v>
      </c>
      <c r="Z19" s="223" t="n">
        <v>65559.1</v>
      </c>
      <c r="AA19" s="223" t="n">
        <v>506197.5</v>
      </c>
      <c r="AB19" s="223" t="n">
        <v>7.72</v>
      </c>
    </row>
    <row r="20" customFormat="false" ht="22.5" hidden="false" customHeight="true" outlineLevel="0" collapsed="false">
      <c r="A20" s="224"/>
      <c r="B20" s="219" t="n">
        <v>5.5</v>
      </c>
      <c r="C20" s="219" t="n">
        <v>7.1</v>
      </c>
      <c r="D20" s="219" t="s">
        <v>150</v>
      </c>
      <c r="E20" s="219" t="n">
        <v>2.60841683366734</v>
      </c>
      <c r="F20" s="219" t="n">
        <v>7.00671757478326</v>
      </c>
      <c r="G20" s="219" t="n">
        <v>4.28649118351154</v>
      </c>
      <c r="H20" s="219" t="n">
        <v>5.15296396987594</v>
      </c>
      <c r="I20" s="219" t="n">
        <v>1.73114647138865</v>
      </c>
      <c r="J20" s="219" t="n">
        <v>-3.25413318778876</v>
      </c>
      <c r="K20" s="219" t="n">
        <v>7.57578008915305</v>
      </c>
      <c r="L20" s="219" t="n">
        <v>6.06867088607595</v>
      </c>
      <c r="M20" s="219" t="n">
        <v>-1.40097445896101</v>
      </c>
      <c r="N20" s="219" t="n">
        <v>-2.86953458980504</v>
      </c>
      <c r="O20" s="219" t="n">
        <v>9.45082747324548</v>
      </c>
      <c r="P20" s="219" t="n">
        <v>12.7560904632183</v>
      </c>
      <c r="Q20" s="220" t="n">
        <v>3.93196911306722</v>
      </c>
      <c r="R20" s="220" t="n">
        <v>6.39628644274471</v>
      </c>
      <c r="S20" s="220" t="n">
        <v>2.37108692417497</v>
      </c>
      <c r="T20" s="220" t="n">
        <f aca="false">(T19/Q19-1)*100</f>
        <v>-1.38193361245655</v>
      </c>
      <c r="U20" s="220" t="n">
        <f aca="false">(U19/R19-1)*100</f>
        <v>-3.28219522864193</v>
      </c>
      <c r="V20" s="220" t="n">
        <f aca="false">(V19/S19-1)*100</f>
        <v>-1.8826631682453</v>
      </c>
      <c r="W20" s="220" t="n">
        <f aca="false">(W19/T19-1)*100</f>
        <v>-3.2337837067046</v>
      </c>
      <c r="X20" s="220" t="n">
        <f aca="false">(X19/U19-1)*100</f>
        <v>0.517848692004219</v>
      </c>
      <c r="Y20" s="220" t="n">
        <f aca="false">(Y19/V19-1)*100</f>
        <v>3.83018341761856</v>
      </c>
      <c r="Z20" s="220" t="n">
        <f aca="false">(Z19/W19-1)*100</f>
        <v>-6.00201443519918</v>
      </c>
      <c r="AA20" s="220" t="n">
        <f aca="false">(AA19/X19-1)*100</f>
        <v>-11.0677270426384</v>
      </c>
      <c r="AB20" s="220" t="n">
        <f aca="false">(AB19/Y19-1)*100</f>
        <v>-5.4043571111779</v>
      </c>
    </row>
    <row r="21" customFormat="false" ht="15" hidden="false" customHeight="false" outlineLevel="0" collapsed="false">
      <c r="A21" s="210" t="s">
        <v>151</v>
      </c>
      <c r="B21" s="210"/>
      <c r="C21" s="210"/>
      <c r="D21" s="210"/>
      <c r="E21" s="210"/>
      <c r="F21" s="210"/>
      <c r="G21" s="210"/>
      <c r="H21" s="210"/>
      <c r="I21" s="210"/>
      <c r="J21" s="210"/>
    </row>
    <row r="22" customFormat="false" ht="15" hidden="false" customHeight="false" outlineLevel="0" collapsed="false">
      <c r="A22" s="210" t="s">
        <v>152</v>
      </c>
      <c r="B22" s="210"/>
      <c r="C22" s="210"/>
      <c r="D22" s="210"/>
      <c r="E22" s="210"/>
      <c r="F22" s="210"/>
      <c r="G22" s="210"/>
      <c r="H22" s="210"/>
      <c r="I22" s="210"/>
      <c r="J22" s="210"/>
    </row>
  </sheetData>
  <mergeCells count="50">
    <mergeCell ref="A1:S1"/>
    <mergeCell ref="Q2:S2"/>
    <mergeCell ref="Q3:S3"/>
    <mergeCell ref="Q4:S4"/>
    <mergeCell ref="A5:A8"/>
    <mergeCell ref="B5:AB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9:A10"/>
    <mergeCell ref="A11:A12"/>
    <mergeCell ref="A13:A14"/>
    <mergeCell ref="A15:A16"/>
    <mergeCell ref="A17:A18"/>
    <mergeCell ref="A19:A20"/>
    <mergeCell ref="A21:J21"/>
    <mergeCell ref="A22:J22"/>
  </mergeCells>
  <printOptions headings="false" gridLines="false" gridLinesSet="true" horizontalCentered="true" verticalCentered="false"/>
  <pageMargins left="0.9" right="0.9" top="0.8" bottom="1.2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P23" activeCellId="0" sqref="P23"/>
    </sheetView>
  </sheetViews>
  <sheetFormatPr defaultColWidth="7.78125" defaultRowHeight="15" customHeight="false" zeroHeight="false" outlineLevelRow="0" outlineLevelCol="0"/>
  <cols>
    <col collapsed="false" customWidth="true" hidden="false" outlineLevel="0" max="1" min="1" style="179" width="9.56"/>
    <col collapsed="false" customWidth="true" hidden="false" outlineLevel="0" max="2" min="2" style="179" width="8.44"/>
    <col collapsed="false" customWidth="true" hidden="false" outlineLevel="0" max="3" min="3" style="179" width="11.11"/>
    <col collapsed="false" customWidth="true" hidden="false" outlineLevel="0" max="5" min="4" style="179" width="8.44"/>
    <col collapsed="false" customWidth="true" hidden="false" outlineLevel="0" max="6" min="6" style="179" width="10.78"/>
    <col collapsed="false" customWidth="true" hidden="false" outlineLevel="0" max="7" min="7" style="179" width="9.33"/>
    <col collapsed="false" customWidth="true" hidden="false" outlineLevel="0" max="8" min="8" style="179" width="8.44"/>
    <col collapsed="false" customWidth="true" hidden="false" outlineLevel="0" max="9" min="9" style="179" width="10.78"/>
    <col collapsed="false" customWidth="true" hidden="false" outlineLevel="0" max="10" min="10" style="179" width="8.22"/>
    <col collapsed="false" customWidth="true" hidden="false" outlineLevel="0" max="11" min="11" style="179" width="8.44"/>
    <col collapsed="false" customWidth="true" hidden="false" outlineLevel="0" max="12" min="12" style="179" width="10.78"/>
    <col collapsed="false" customWidth="true" hidden="false" outlineLevel="0" max="14" min="13" style="179" width="9.11"/>
    <col collapsed="false" customWidth="true" hidden="false" outlineLevel="0" max="15" min="15" style="179" width="12.44"/>
    <col collapsed="false" customWidth="true" hidden="false" outlineLevel="0" max="16" min="16" style="179" width="9.11"/>
    <col collapsed="false" customWidth="true" hidden="false" outlineLevel="0" max="17" min="17" style="179" width="8.44"/>
    <col collapsed="false" customWidth="true" hidden="false" outlineLevel="0" max="18" min="18" style="179" width="10.78"/>
    <col collapsed="false" customWidth="true" hidden="false" outlineLevel="0" max="19" min="19" style="179" width="8.88"/>
    <col collapsed="false" customWidth="true" hidden="false" outlineLevel="0" max="20" min="20" style="179" width="11.11"/>
    <col collapsed="false" customWidth="true" hidden="false" outlineLevel="0" max="21" min="21" style="179" width="11.88"/>
    <col collapsed="false" customWidth="false" hidden="false" outlineLevel="0" max="16384" min="22" style="179" width="7.78"/>
  </cols>
  <sheetData>
    <row r="1" customFormat="false" ht="29.25" hidden="false" customHeight="true" outlineLevel="0" collapsed="false">
      <c r="A1" s="197" t="s">
        <v>153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</row>
    <row r="2" customFormat="false" ht="18.75" hidden="false" customHeight="true" outlineLevel="0" collapsed="false">
      <c r="A2" s="212"/>
      <c r="B2" s="212"/>
      <c r="C2" s="212"/>
      <c r="D2" s="212"/>
      <c r="E2" s="212"/>
      <c r="F2" s="212"/>
      <c r="G2" s="212"/>
      <c r="Q2" s="225" t="s">
        <v>123</v>
      </c>
      <c r="R2" s="225"/>
      <c r="S2" s="225"/>
    </row>
    <row r="3" customFormat="false" ht="18.75" hidden="false" customHeight="true" outlineLevel="0" collapsed="false">
      <c r="A3" s="212"/>
      <c r="B3" s="212"/>
      <c r="C3" s="212"/>
      <c r="D3" s="212"/>
      <c r="E3" s="212"/>
      <c r="F3" s="212"/>
      <c r="G3" s="212"/>
      <c r="Q3" s="225" t="s">
        <v>124</v>
      </c>
      <c r="R3" s="225"/>
      <c r="S3" s="225"/>
    </row>
    <row r="4" customFormat="false" ht="21.75" hidden="false" customHeight="true" outlineLevel="0" collapsed="false">
      <c r="A4" s="212"/>
      <c r="B4" s="212"/>
      <c r="C4" s="212"/>
      <c r="D4" s="212"/>
      <c r="E4" s="212"/>
      <c r="F4" s="212"/>
      <c r="G4" s="212"/>
      <c r="Q4" s="226" t="s">
        <v>125</v>
      </c>
      <c r="R4" s="226"/>
      <c r="S4" s="226"/>
    </row>
    <row r="5" customFormat="false" ht="22.5" hidden="false" customHeight="true" outlineLevel="0" collapsed="false">
      <c r="A5" s="227" t="s">
        <v>154</v>
      </c>
      <c r="B5" s="228" t="s">
        <v>5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</row>
    <row r="6" customFormat="false" ht="22.5" hidden="false" customHeight="true" outlineLevel="0" collapsed="false">
      <c r="A6" s="227"/>
      <c r="B6" s="201" t="s">
        <v>81</v>
      </c>
      <c r="C6" s="201"/>
      <c r="D6" s="201"/>
      <c r="E6" s="203" t="s">
        <v>83</v>
      </c>
      <c r="F6" s="203"/>
      <c r="G6" s="203"/>
      <c r="H6" s="203" t="s">
        <v>84</v>
      </c>
      <c r="I6" s="203"/>
      <c r="J6" s="203"/>
      <c r="K6" s="203" t="s">
        <v>85</v>
      </c>
      <c r="L6" s="203"/>
      <c r="M6" s="203"/>
      <c r="N6" s="203" t="s">
        <v>86</v>
      </c>
      <c r="O6" s="203"/>
      <c r="P6" s="203"/>
      <c r="Q6" s="203" t="s">
        <v>87</v>
      </c>
      <c r="R6" s="203"/>
      <c r="S6" s="203"/>
      <c r="T6" s="203" t="s">
        <v>88</v>
      </c>
      <c r="U6" s="203"/>
      <c r="V6" s="203"/>
      <c r="W6" s="204" t="s">
        <v>89</v>
      </c>
      <c r="X6" s="204"/>
      <c r="Y6" s="204"/>
      <c r="Z6" s="216" t="s">
        <v>90</v>
      </c>
      <c r="AA6" s="216"/>
      <c r="AB6" s="216"/>
    </row>
    <row r="7" customFormat="false" ht="27.75" hidden="false" customHeight="true" outlineLevel="0" collapsed="false">
      <c r="A7" s="227"/>
      <c r="B7" s="201" t="s">
        <v>24</v>
      </c>
      <c r="C7" s="201" t="s">
        <v>26</v>
      </c>
      <c r="D7" s="201" t="s">
        <v>127</v>
      </c>
      <c r="E7" s="201" t="s">
        <v>24</v>
      </c>
      <c r="F7" s="201" t="s">
        <v>26</v>
      </c>
      <c r="G7" s="201" t="s">
        <v>127</v>
      </c>
      <c r="H7" s="201" t="s">
        <v>24</v>
      </c>
      <c r="I7" s="201" t="s">
        <v>26</v>
      </c>
      <c r="J7" s="201" t="s">
        <v>127</v>
      </c>
      <c r="K7" s="201" t="s">
        <v>24</v>
      </c>
      <c r="L7" s="201" t="s">
        <v>26</v>
      </c>
      <c r="M7" s="201" t="s">
        <v>127</v>
      </c>
      <c r="N7" s="201" t="s">
        <v>24</v>
      </c>
      <c r="O7" s="201" t="s">
        <v>26</v>
      </c>
      <c r="P7" s="201" t="s">
        <v>127</v>
      </c>
      <c r="Q7" s="201" t="s">
        <v>24</v>
      </c>
      <c r="R7" s="201" t="s">
        <v>26</v>
      </c>
      <c r="S7" s="201" t="s">
        <v>127</v>
      </c>
      <c r="T7" s="201" t="s">
        <v>24</v>
      </c>
      <c r="U7" s="201" t="s">
        <v>26</v>
      </c>
      <c r="V7" s="201" t="s">
        <v>127</v>
      </c>
      <c r="W7" s="201" t="s">
        <v>24</v>
      </c>
      <c r="X7" s="201" t="s">
        <v>26</v>
      </c>
      <c r="Y7" s="201" t="s">
        <v>127</v>
      </c>
      <c r="Z7" s="229" t="s">
        <v>24</v>
      </c>
      <c r="AA7" s="229" t="s">
        <v>26</v>
      </c>
      <c r="AB7" s="229" t="s">
        <v>127</v>
      </c>
    </row>
    <row r="8" customFormat="false" ht="22.5" hidden="false" customHeight="true" outlineLevel="0" collapsed="false">
      <c r="A8" s="230" t="s">
        <v>155</v>
      </c>
      <c r="B8" s="231" t="n">
        <v>67372</v>
      </c>
      <c r="C8" s="231" t="n">
        <v>2988418</v>
      </c>
      <c r="D8" s="231" t="n">
        <f aca="false">C8/B8</f>
        <v>44.3569732232975</v>
      </c>
      <c r="E8" s="231" t="n">
        <v>68402</v>
      </c>
      <c r="F8" s="231" t="n">
        <v>3157401</v>
      </c>
      <c r="G8" s="231" t="n">
        <v>46.1594836408292</v>
      </c>
      <c r="H8" s="231" t="n">
        <v>78609.3</v>
      </c>
      <c r="I8" s="231" t="n">
        <v>3558182.1</v>
      </c>
      <c r="J8" s="231" t="n">
        <v>45.2641366861173</v>
      </c>
      <c r="K8" s="231" t="n">
        <v>71624.5454193532</v>
      </c>
      <c r="L8" s="231" t="n">
        <v>3557934.09445908</v>
      </c>
      <c r="M8" s="231" t="n">
        <v>49.6747877927574</v>
      </c>
      <c r="N8" s="231" t="n">
        <v>68565</v>
      </c>
      <c r="O8" s="231" t="n">
        <v>3400176</v>
      </c>
      <c r="P8" s="231" t="n">
        <v>49.5905491139794</v>
      </c>
      <c r="Q8" s="231" t="n">
        <v>64354.4751993988</v>
      </c>
      <c r="R8" s="231" t="n">
        <v>3183943.1334717</v>
      </c>
      <c r="S8" s="231" t="n">
        <v>49.4750850443023</v>
      </c>
      <c r="T8" s="231" t="n">
        <v>62567</v>
      </c>
      <c r="U8" s="231" t="n">
        <v>3159634</v>
      </c>
      <c r="V8" s="231" t="n">
        <v>50.5</v>
      </c>
      <c r="W8" s="231" t="n">
        <v>62832.5</v>
      </c>
      <c r="X8" s="231" t="n">
        <v>3130108.53208285</v>
      </c>
      <c r="Y8" s="231" t="n">
        <f aca="false">X8/W8</f>
        <v>49.8167116075733</v>
      </c>
      <c r="Z8" s="231" t="n">
        <v>55440</v>
      </c>
      <c r="AA8" s="231" t="n">
        <v>2760495</v>
      </c>
      <c r="AB8" s="231" t="n">
        <v>49.79</v>
      </c>
    </row>
    <row r="9" customFormat="false" ht="22.5" hidden="false" customHeight="true" outlineLevel="0" collapsed="false">
      <c r="A9" s="230"/>
      <c r="B9" s="231" t="n">
        <v>1.2</v>
      </c>
      <c r="C9" s="231" t="n">
        <v>-2.4</v>
      </c>
      <c r="D9" s="231" t="n">
        <v>-3.6</v>
      </c>
      <c r="E9" s="231" t="n">
        <v>1.52882503117022</v>
      </c>
      <c r="F9" s="231" t="n">
        <v>5.65459718151878</v>
      </c>
      <c r="G9" s="231" t="n">
        <v>4.06364611141901</v>
      </c>
      <c r="H9" s="231" t="n">
        <v>14.9225168854712</v>
      </c>
      <c r="I9" s="231" t="n">
        <v>12.6933861109184</v>
      </c>
      <c r="J9" s="231" t="n">
        <v>-1.93968147841231</v>
      </c>
      <c r="K9" s="231" t="n">
        <v>-8.88540488294235</v>
      </c>
      <c r="L9" s="231" t="n">
        <v>-0.00697000698526809</v>
      </c>
      <c r="M9" s="231" t="n">
        <v>9.74425103305424</v>
      </c>
      <c r="N9" s="231" t="n">
        <v>-4.27164375206842</v>
      </c>
      <c r="O9" s="231" t="n">
        <v>-4.43398023321356</v>
      </c>
      <c r="P9" s="231" t="n">
        <v>-0.169580349551496</v>
      </c>
      <c r="Q9" s="231" t="n">
        <v>-6.14092437920396</v>
      </c>
      <c r="R9" s="231" t="n">
        <v>-6.35946099638078</v>
      </c>
      <c r="S9" s="231" t="n">
        <v>-0.232834827885733</v>
      </c>
      <c r="T9" s="231" t="n">
        <f aca="false">(T8/Q8-1)*100</f>
        <v>-2.77754607408484</v>
      </c>
      <c r="U9" s="231" t="n">
        <f aca="false">(U8/R8-1)*100</f>
        <v>-0.763491446067188</v>
      </c>
      <c r="V9" s="231" t="n">
        <f aca="false">(V8/S8-1)*100</f>
        <v>2.07157795641977</v>
      </c>
      <c r="W9" s="231" t="n">
        <f aca="false">(W8/T8-1)*100</f>
        <v>0.424345102050605</v>
      </c>
      <c r="X9" s="231" t="n">
        <f aca="false">(X8/U8-1)*100</f>
        <v>-0.93445848212641</v>
      </c>
      <c r="Y9" s="231" t="n">
        <f aca="false">(Y8/V8-1)*100</f>
        <v>-1.35304632163701</v>
      </c>
      <c r="Z9" s="231" t="n">
        <f aca="false">(Z8/W8-1)*100</f>
        <v>-11.7654080292842</v>
      </c>
      <c r="AA9" s="231" t="n">
        <f aca="false">(AA8/X8-1)*100</f>
        <v>-11.8083295928688</v>
      </c>
      <c r="AB9" s="231" t="n">
        <f aca="false">(AB8/Y8-1)*100</f>
        <v>-0.0536197727857513</v>
      </c>
    </row>
    <row r="10" customFormat="false" ht="22.5" hidden="false" customHeight="true" outlineLevel="0" collapsed="false">
      <c r="A10" s="230" t="s">
        <v>70</v>
      </c>
      <c r="B10" s="231" t="n">
        <v>8017</v>
      </c>
      <c r="C10" s="231" t="n">
        <v>11633</v>
      </c>
      <c r="D10" s="231" t="n">
        <f aca="false">C10/B10</f>
        <v>1.45104153673444</v>
      </c>
      <c r="E10" s="231" t="n">
        <v>7500</v>
      </c>
      <c r="F10" s="231" t="n">
        <v>9735</v>
      </c>
      <c r="G10" s="231" t="n">
        <v>1.298</v>
      </c>
      <c r="H10" s="231" t="n">
        <v>7607</v>
      </c>
      <c r="I10" s="231" t="n">
        <v>11159</v>
      </c>
      <c r="J10" s="231" t="n">
        <v>1.46693834626002</v>
      </c>
      <c r="K10" s="231" t="n">
        <v>7285</v>
      </c>
      <c r="L10" s="231" t="n">
        <v>10585</v>
      </c>
      <c r="M10" s="231" t="n">
        <v>1.45298558682224</v>
      </c>
      <c r="N10" s="231" t="n">
        <v>7555</v>
      </c>
      <c r="O10" s="231" t="n">
        <v>10165</v>
      </c>
      <c r="P10" s="231" t="n">
        <v>1.34546657842488</v>
      </c>
      <c r="Q10" s="231" t="n">
        <v>7415</v>
      </c>
      <c r="R10" s="231" t="n">
        <v>10451</v>
      </c>
      <c r="S10" s="231" t="n">
        <v>1.40944032366824</v>
      </c>
      <c r="T10" s="231" t="n">
        <v>7195</v>
      </c>
      <c r="U10" s="231" t="n">
        <v>10217</v>
      </c>
      <c r="V10" s="231" t="n">
        <v>1.42</v>
      </c>
      <c r="W10" s="231" t="n">
        <v>7220</v>
      </c>
      <c r="X10" s="231" t="n">
        <v>10204.68</v>
      </c>
      <c r="Y10" s="231" t="n">
        <f aca="false">X10/W10</f>
        <v>1.41339058171745</v>
      </c>
      <c r="Z10" s="231" t="n">
        <v>7210</v>
      </c>
      <c r="AA10" s="231" t="n">
        <v>10220</v>
      </c>
      <c r="AB10" s="231" t="n">
        <v>1.42</v>
      </c>
    </row>
    <row r="11" customFormat="false" ht="22.5" hidden="false" customHeight="true" outlineLevel="0" collapsed="false">
      <c r="A11" s="230"/>
      <c r="B11" s="231" t="n">
        <v>-29.7</v>
      </c>
      <c r="C11" s="231" t="n">
        <v>-29.6</v>
      </c>
      <c r="D11" s="231" t="n">
        <v>0.1</v>
      </c>
      <c r="E11" s="231" t="n">
        <v>-6.44879630784583</v>
      </c>
      <c r="F11" s="231" t="n">
        <v>-16.3156537436603</v>
      </c>
      <c r="G11" s="231" t="n">
        <v>-10.5470128083899</v>
      </c>
      <c r="H11" s="231" t="n">
        <v>1.42666666666667</v>
      </c>
      <c r="I11" s="231" t="n">
        <v>14.6276322547509</v>
      </c>
      <c r="J11" s="231" t="n">
        <v>13.0152809137152</v>
      </c>
      <c r="K11" s="231" t="n">
        <v>-4.232943341659</v>
      </c>
      <c r="L11" s="231" t="n">
        <v>-5.14383009230218</v>
      </c>
      <c r="M11" s="231" t="n">
        <v>-0.951148320129397</v>
      </c>
      <c r="N11" s="231" t="n">
        <v>3.70624571036376</v>
      </c>
      <c r="O11" s="231" t="n">
        <v>-3.96787907416155</v>
      </c>
      <c r="P11" s="231" t="n">
        <v>-7.39986751227887</v>
      </c>
      <c r="Q11" s="231" t="n">
        <v>-1.85307743216413</v>
      </c>
      <c r="R11" s="231" t="n">
        <v>2.81357599606493</v>
      </c>
      <c r="S11" s="231" t="n">
        <v>4.75476286584902</v>
      </c>
      <c r="T11" s="231" t="n">
        <f aca="false">(T10/Q10-1)*100</f>
        <v>-2.96695886716116</v>
      </c>
      <c r="U11" s="231" t="n">
        <f aca="false">(U10/R10-1)*100</f>
        <v>-2.23902018945555</v>
      </c>
      <c r="V11" s="231" t="n">
        <f aca="false">(V10/S10-1)*100</f>
        <v>0.749210601856287</v>
      </c>
      <c r="W11" s="231" t="n">
        <f aca="false">(W10/T10-1)*100</f>
        <v>0.347463516330793</v>
      </c>
      <c r="X11" s="231" t="n">
        <f aca="false">(X10/U10-1)*100</f>
        <v>-0.120583341489666</v>
      </c>
      <c r="Y11" s="231" t="n">
        <f aca="false">(Y10/V10-1)*100</f>
        <v>-0.46545199172876</v>
      </c>
      <c r="Z11" s="231" t="n">
        <f aca="false">(Z10/W10-1)*100</f>
        <v>-0.138504155124652</v>
      </c>
      <c r="AA11" s="231" t="n">
        <f aca="false">(AA10/X10-1)*100</f>
        <v>0.150127196541194</v>
      </c>
      <c r="AB11" s="231" t="n">
        <f aca="false">(AB10/Y10-1)*100</f>
        <v>0.467628578260171</v>
      </c>
    </row>
    <row r="12" customFormat="false" ht="22.5" hidden="false" customHeight="true" outlineLevel="0" collapsed="false">
      <c r="A12" s="230" t="s">
        <v>156</v>
      </c>
      <c r="B12" s="231" t="n">
        <v>20165</v>
      </c>
      <c r="C12" s="231" t="n">
        <v>23187</v>
      </c>
      <c r="D12" s="231" t="n">
        <f aca="false">C12/B12</f>
        <v>1.14986362509298</v>
      </c>
      <c r="E12" s="231" t="n">
        <v>21267</v>
      </c>
      <c r="F12" s="231" t="n">
        <v>24702</v>
      </c>
      <c r="G12" s="231" t="n">
        <v>1.16151784454789</v>
      </c>
      <c r="H12" s="231" t="n">
        <v>28523</v>
      </c>
      <c r="I12" s="231" t="n">
        <v>24653</v>
      </c>
      <c r="J12" s="231" t="n">
        <v>0.864320022438033</v>
      </c>
      <c r="K12" s="231" t="n">
        <v>28732</v>
      </c>
      <c r="L12" s="231" t="n">
        <v>25206</v>
      </c>
      <c r="M12" s="231" t="n">
        <v>0.877279688152583</v>
      </c>
      <c r="N12" s="231" t="n">
        <v>28157.36</v>
      </c>
      <c r="O12" s="231" t="n">
        <v>24270.35328</v>
      </c>
      <c r="P12" s="231" t="n">
        <v>0.86195414911057</v>
      </c>
      <c r="Q12" s="231" t="n">
        <v>16917</v>
      </c>
      <c r="R12" s="231" t="n">
        <v>23796</v>
      </c>
      <c r="S12" s="231" t="n">
        <v>1.427</v>
      </c>
      <c r="T12" s="231" t="n">
        <v>17000</v>
      </c>
      <c r="U12" s="231" t="n">
        <v>24600</v>
      </c>
      <c r="V12" s="231" t="n">
        <v>1.45</v>
      </c>
      <c r="W12" s="231" t="n">
        <v>20237</v>
      </c>
      <c r="X12" s="231" t="n">
        <v>26379.49</v>
      </c>
      <c r="Y12" s="231" t="n">
        <v>1.3</v>
      </c>
      <c r="Z12" s="231" t="n">
        <v>20760</v>
      </c>
      <c r="AA12" s="231" t="n">
        <v>26983</v>
      </c>
      <c r="AB12" s="231" t="n">
        <v>1.3</v>
      </c>
    </row>
    <row r="13" customFormat="false" ht="22.5" hidden="false" customHeight="true" outlineLevel="0" collapsed="false">
      <c r="A13" s="230"/>
      <c r="B13" s="231" t="n">
        <v>4.2</v>
      </c>
      <c r="C13" s="231" t="n">
        <v>3.1</v>
      </c>
      <c r="D13" s="231" t="n">
        <v>-1.1</v>
      </c>
      <c r="E13" s="231" t="n">
        <v>5.46491445574014</v>
      </c>
      <c r="F13" s="231" t="n">
        <v>6.53383361366283</v>
      </c>
      <c r="G13" s="231" t="n">
        <v>1.01353057880806</v>
      </c>
      <c r="H13" s="231" t="n">
        <v>34.1185874829548</v>
      </c>
      <c r="I13" s="231" t="n">
        <v>-0.198364504898389</v>
      </c>
      <c r="J13" s="231" t="n">
        <v>-25.5870216290598</v>
      </c>
      <c r="K13" s="231" t="n">
        <v>0.732741997686078</v>
      </c>
      <c r="L13" s="231" t="n">
        <v>2.24313470977163</v>
      </c>
      <c r="M13" s="231" t="n">
        <v>1.49940593508339</v>
      </c>
      <c r="N13" s="231" t="n">
        <v>-2</v>
      </c>
      <c r="O13" s="231" t="n">
        <v>-3.712</v>
      </c>
      <c r="P13" s="231" t="n">
        <v>-21.6405318990391</v>
      </c>
      <c r="Q13" s="231" t="n">
        <v>-39.9197936170152</v>
      </c>
      <c r="R13" s="231" t="n">
        <v>-1.95445560485883</v>
      </c>
      <c r="S13" s="231" t="n">
        <v>65.5540496524656</v>
      </c>
      <c r="T13" s="231" t="n">
        <f aca="false">(T12/Q12-1)*100</f>
        <v>0.490630726488139</v>
      </c>
      <c r="U13" s="231" t="n">
        <f aca="false">(U12/R12-1)*100</f>
        <v>3.37871911245589</v>
      </c>
      <c r="V13" s="231" t="n">
        <f aca="false">(V12/S12-1)*100</f>
        <v>1.61177295024526</v>
      </c>
      <c r="W13" s="231" t="n">
        <f aca="false">(W12/T12-1)*100</f>
        <v>19.0411764705882</v>
      </c>
      <c r="X13" s="231" t="n">
        <f aca="false">(X12/U12-1)*100</f>
        <v>7.23369918699188</v>
      </c>
      <c r="Y13" s="231" t="n">
        <f aca="false">(Y12/V12-1)*100</f>
        <v>-10.3448275862069</v>
      </c>
      <c r="Z13" s="231" t="n">
        <f aca="false">(Z12/W12-1)*100</f>
        <v>2.58437515442012</v>
      </c>
      <c r="AA13" s="231" t="n">
        <f aca="false">(AA12/X12-1)*100</f>
        <v>2.28780010530909</v>
      </c>
      <c r="AB13" s="231" t="n">
        <f aca="false">(AB12/Y12-1)*100</f>
        <v>0</v>
      </c>
    </row>
    <row r="14" customFormat="false" ht="22.5" hidden="false" customHeight="true" outlineLevel="0" collapsed="false">
      <c r="A14" s="230" t="s">
        <v>157</v>
      </c>
      <c r="B14" s="231" t="n">
        <v>2031</v>
      </c>
      <c r="C14" s="231" t="n">
        <v>464</v>
      </c>
      <c r="D14" s="231" t="n">
        <f aca="false">C14/B14</f>
        <v>0.228458887247661</v>
      </c>
      <c r="E14" s="231" t="n">
        <v>3000</v>
      </c>
      <c r="F14" s="231" t="n">
        <v>579</v>
      </c>
      <c r="G14" s="231" t="n">
        <v>0.193</v>
      </c>
      <c r="H14" s="231" t="n">
        <v>2699</v>
      </c>
      <c r="I14" s="231" t="n">
        <v>475</v>
      </c>
      <c r="J14" s="231" t="n">
        <v>0.2</v>
      </c>
      <c r="K14" s="231" t="n">
        <v>2761</v>
      </c>
      <c r="L14" s="231" t="n">
        <v>530</v>
      </c>
      <c r="M14" s="231" t="n">
        <v>0.22</v>
      </c>
      <c r="N14" s="231" t="n">
        <v>2713.5108</v>
      </c>
      <c r="O14" s="231" t="n">
        <v>505.143</v>
      </c>
      <c r="P14" s="231" t="n">
        <v>0.186158463050893</v>
      </c>
      <c r="Q14" s="231" t="n">
        <v>3052</v>
      </c>
      <c r="R14" s="231" t="n">
        <v>314.5</v>
      </c>
      <c r="S14" s="231" t="n">
        <v>0.3</v>
      </c>
      <c r="T14" s="231" t="n">
        <v>3346</v>
      </c>
      <c r="U14" s="231" t="n">
        <v>355</v>
      </c>
      <c r="V14" s="231" t="n">
        <v>0.11</v>
      </c>
      <c r="W14" s="231" t="n">
        <v>3658.65</v>
      </c>
      <c r="X14" s="231" t="n">
        <v>394.4</v>
      </c>
      <c r="Y14" s="231" t="n">
        <v>0.11</v>
      </c>
      <c r="Z14" s="231" t="n">
        <v>4305</v>
      </c>
      <c r="AA14" s="231" t="n">
        <v>501</v>
      </c>
      <c r="AB14" s="231" t="n">
        <v>0.12</v>
      </c>
    </row>
    <row r="15" customFormat="false" ht="22.5" hidden="false" customHeight="true" outlineLevel="0" collapsed="false">
      <c r="A15" s="230"/>
      <c r="B15" s="231" t="n">
        <v>-14.7</v>
      </c>
      <c r="C15" s="231" t="n">
        <v>0</v>
      </c>
      <c r="D15" s="231" t="n">
        <v>17.2</v>
      </c>
      <c r="E15" s="231" t="n">
        <v>47.7104874446086</v>
      </c>
      <c r="F15" s="231" t="n">
        <v>24.7844827586207</v>
      </c>
      <c r="G15" s="231" t="n">
        <v>-15.5209051724138</v>
      </c>
      <c r="H15" s="231" t="n">
        <v>-10.0333333333333</v>
      </c>
      <c r="I15" s="231" t="n">
        <v>-17.9620034542314</v>
      </c>
      <c r="J15" s="231" t="n">
        <v>3.62694300518135</v>
      </c>
      <c r="K15" s="231" t="n">
        <v>2.29714709151538</v>
      </c>
      <c r="L15" s="231" t="n">
        <v>11.5789473684211</v>
      </c>
      <c r="M15" s="231" t="n">
        <v>10</v>
      </c>
      <c r="N15" s="231" t="n">
        <v>-1.72</v>
      </c>
      <c r="O15" s="231" t="n">
        <v>-4.69000000000001</v>
      </c>
      <c r="P15" s="231" t="n">
        <v>-15.3825167950485</v>
      </c>
      <c r="Q15" s="231" t="n">
        <v>12.4742160598734</v>
      </c>
      <c r="R15" s="231" t="n">
        <v>-37.7404022227369</v>
      </c>
      <c r="S15" s="231" t="n">
        <v>61.1530279544604</v>
      </c>
      <c r="T15" s="231" t="n">
        <f aca="false">(T14/Q14-1)*100</f>
        <v>9.63302752293578</v>
      </c>
      <c r="U15" s="231" t="n">
        <f aca="false">(U14/R14-1)*100</f>
        <v>12.8775834658188</v>
      </c>
      <c r="V15" s="231" t="n">
        <f aca="false">(V14/S14-1)*100</f>
        <v>-63.3333333333333</v>
      </c>
      <c r="W15" s="231" t="n">
        <f aca="false">(W14/T14-1)*100</f>
        <v>9.34399282725642</v>
      </c>
      <c r="X15" s="231" t="n">
        <f aca="false">(X14/U14-1)*100</f>
        <v>11.0985915492958</v>
      </c>
      <c r="Y15" s="231" t="n">
        <f aca="false">(Y14/V14-1)*100</f>
        <v>0</v>
      </c>
      <c r="Z15" s="231" t="n">
        <f aca="false">(Z14/W14-1)*100</f>
        <v>17.6663523430774</v>
      </c>
      <c r="AA15" s="231" t="n">
        <f aca="false">(AA14/X14-1)*100</f>
        <v>27.0283975659229</v>
      </c>
      <c r="AB15" s="231" t="n">
        <f aca="false">(AB14/Y14-1)*100</f>
        <v>9.09090909090908</v>
      </c>
    </row>
    <row r="16" customFormat="false" ht="22.5" hidden="false" customHeight="true" outlineLevel="0" collapsed="false">
      <c r="A16" s="230" t="s">
        <v>158</v>
      </c>
      <c r="B16" s="231" t="n">
        <v>125</v>
      </c>
      <c r="C16" s="231" t="n">
        <v>129</v>
      </c>
      <c r="D16" s="231" t="n">
        <f aca="false">C16/B16</f>
        <v>1.032</v>
      </c>
      <c r="E16" s="231" t="n">
        <v>142.5</v>
      </c>
      <c r="F16" s="231" t="n">
        <v>126.9</v>
      </c>
      <c r="G16" s="231" t="n">
        <v>0.9</v>
      </c>
      <c r="H16" s="231" t="n">
        <v>120</v>
      </c>
      <c r="I16" s="231" t="n">
        <v>125</v>
      </c>
      <c r="J16" s="231" t="n">
        <v>1.04</v>
      </c>
      <c r="K16" s="231" t="n">
        <v>97</v>
      </c>
      <c r="L16" s="231" t="n">
        <v>99</v>
      </c>
      <c r="M16" s="231" t="n">
        <v>1.02061855670103</v>
      </c>
      <c r="N16" s="231" t="n">
        <v>135</v>
      </c>
      <c r="O16" s="231" t="n">
        <v>140</v>
      </c>
      <c r="P16" s="231" t="n">
        <v>1.03703703703704</v>
      </c>
      <c r="Q16" s="231" t="n">
        <v>142</v>
      </c>
      <c r="R16" s="231" t="n">
        <v>147</v>
      </c>
      <c r="S16" s="231" t="n">
        <v>1.03521126760563</v>
      </c>
      <c r="T16" s="231" t="n">
        <v>155</v>
      </c>
      <c r="U16" s="231" t="n">
        <v>172</v>
      </c>
      <c r="V16" s="231" t="n">
        <v>1.11</v>
      </c>
      <c r="W16" s="231" t="n">
        <v>60</v>
      </c>
      <c r="X16" s="231" t="n">
        <v>65.25</v>
      </c>
      <c r="Y16" s="231" t="n">
        <f aca="false">X16/W16</f>
        <v>1.0875</v>
      </c>
      <c r="Z16" s="231" t="n">
        <v>56</v>
      </c>
      <c r="AA16" s="231" t="n">
        <v>56</v>
      </c>
      <c r="AB16" s="231" t="n">
        <v>1</v>
      </c>
    </row>
    <row r="17" customFormat="false" ht="22.5" hidden="false" customHeight="true" outlineLevel="0" collapsed="false">
      <c r="A17" s="230"/>
      <c r="B17" s="231" t="n">
        <v>-21.1</v>
      </c>
      <c r="C17" s="231" t="n">
        <v>-23.2</v>
      </c>
      <c r="D17" s="231" t="n">
        <v>6</v>
      </c>
      <c r="E17" s="231" t="n">
        <v>14</v>
      </c>
      <c r="F17" s="231" t="n">
        <v>-1.62790697674418</v>
      </c>
      <c r="G17" s="231" t="n">
        <v>-12.7906976744186</v>
      </c>
      <c r="H17" s="231" t="n">
        <v>-15.7894736842105</v>
      </c>
      <c r="I17" s="231" t="n">
        <v>-1.49724192277384</v>
      </c>
      <c r="J17" s="231" t="n">
        <v>15.5555555555556</v>
      </c>
      <c r="K17" s="231" t="n">
        <v>-19.1666666666667</v>
      </c>
      <c r="L17" s="231" t="n">
        <v>-20.8</v>
      </c>
      <c r="M17" s="231" t="n">
        <v>-1.86360031720858</v>
      </c>
      <c r="N17" s="231" t="n">
        <v>39.1752577319588</v>
      </c>
      <c r="O17" s="231" t="n">
        <v>41.4141414141414</v>
      </c>
      <c r="P17" s="231" t="n">
        <v>1.60867938645717</v>
      </c>
      <c r="Q17" s="231" t="n">
        <v>5.18518518518519</v>
      </c>
      <c r="R17" s="231" t="n">
        <v>5</v>
      </c>
      <c r="S17" s="231" t="n">
        <v>-0.176056338028168</v>
      </c>
      <c r="T17" s="231" t="n">
        <f aca="false">(T16/Q16-1)*100</f>
        <v>9.1549295774648</v>
      </c>
      <c r="U17" s="231" t="n">
        <f aca="false">(U16/R16-1)*100</f>
        <v>17.0068027210884</v>
      </c>
      <c r="V17" s="231" t="n">
        <f aca="false">(V16/S16-1)*100</f>
        <v>7.22448979591877</v>
      </c>
      <c r="W17" s="231" t="n">
        <f aca="false">(W16/T16-1)*100</f>
        <v>-61.2903225806452</v>
      </c>
      <c r="X17" s="231" t="n">
        <f aca="false">(X16/U16-1)*100</f>
        <v>-62.0639534883721</v>
      </c>
      <c r="Y17" s="231" t="n">
        <f aca="false">(Y16/V16-1)*100</f>
        <v>-2.02702702702704</v>
      </c>
      <c r="Z17" s="231" t="n">
        <f aca="false">(Z16/W16-1)*100</f>
        <v>-6.66666666666667</v>
      </c>
      <c r="AA17" s="231" t="n">
        <f aca="false">(AA16/X16-1)*100</f>
        <v>-14.176245210728</v>
      </c>
      <c r="AB17" s="231" t="n">
        <f aca="false">(AB16/Y16-1)*100</f>
        <v>-8.04597701149424</v>
      </c>
    </row>
    <row r="18" s="233" customFormat="true" ht="22.5" hidden="false" customHeight="true" outlineLevel="0" collapsed="false">
      <c r="A18" s="232" t="s">
        <v>159</v>
      </c>
      <c r="B18" s="231" t="n">
        <v>9934</v>
      </c>
      <c r="C18" s="231" t="n">
        <v>77000</v>
      </c>
      <c r="D18" s="231" t="n">
        <v>4.9</v>
      </c>
      <c r="E18" s="231" t="n">
        <v>11396</v>
      </c>
      <c r="F18" s="231" t="n">
        <v>83898.37</v>
      </c>
      <c r="G18" s="231" t="n">
        <v>4.9</v>
      </c>
      <c r="H18" s="231" t="n">
        <v>11895</v>
      </c>
      <c r="I18" s="231" t="n">
        <v>86544</v>
      </c>
      <c r="J18" s="231" t="n">
        <v>4.91</v>
      </c>
      <c r="K18" s="231" t="n">
        <v>12749</v>
      </c>
      <c r="L18" s="231" t="n">
        <v>91832</v>
      </c>
      <c r="M18" s="231" t="n">
        <v>4.93</v>
      </c>
      <c r="N18" s="231"/>
      <c r="O18" s="231" t="n">
        <v>99434</v>
      </c>
      <c r="P18" s="231"/>
      <c r="Q18" s="231" t="s">
        <v>160</v>
      </c>
      <c r="R18" s="231" t="n">
        <v>104623</v>
      </c>
      <c r="S18" s="231"/>
      <c r="T18" s="231"/>
      <c r="U18" s="231" t="n">
        <v>108385</v>
      </c>
      <c r="V18" s="231"/>
      <c r="W18" s="231"/>
      <c r="X18" s="231" t="n">
        <v>113736</v>
      </c>
      <c r="Y18" s="231"/>
      <c r="Z18" s="231"/>
      <c r="AA18" s="231" t="n">
        <v>123403</v>
      </c>
      <c r="AB18" s="231"/>
    </row>
    <row r="19" customFormat="false" ht="22.5" hidden="false" customHeight="true" outlineLevel="0" collapsed="false">
      <c r="A19" s="232"/>
      <c r="B19" s="231" t="n">
        <v>7.9</v>
      </c>
      <c r="C19" s="231" t="n">
        <v>10.7</v>
      </c>
      <c r="D19" s="231" t="n">
        <v>8.64</v>
      </c>
      <c r="E19" s="231" t="n">
        <v>14.7171330783169</v>
      </c>
      <c r="F19" s="231" t="n">
        <v>8.95892207792207</v>
      </c>
      <c r="G19" s="231" t="n">
        <v>0</v>
      </c>
      <c r="H19" s="231" t="n">
        <v>4.37872937872938</v>
      </c>
      <c r="I19" s="231" t="n">
        <v>3.15337473183329</v>
      </c>
      <c r="J19" s="231" t="n">
        <v>0.204081632653057</v>
      </c>
      <c r="K19" s="231" t="n">
        <v>7.17948717948718</v>
      </c>
      <c r="L19" s="231" t="n">
        <v>6.11018672582733</v>
      </c>
      <c r="M19" s="231" t="n">
        <v>0.407331975560073</v>
      </c>
      <c r="N19" s="231"/>
      <c r="O19" s="231" t="n">
        <v>-6.96707030229114</v>
      </c>
      <c r="P19" s="231"/>
      <c r="Q19" s="231"/>
      <c r="R19" s="231" t="n">
        <f aca="false">R18/O18*100-100</f>
        <v>5.21853691896132</v>
      </c>
      <c r="S19" s="231"/>
      <c r="T19" s="231"/>
      <c r="U19" s="231" t="n">
        <f aca="false">(U18/R18-1)*100</f>
        <v>3.59576766103056</v>
      </c>
      <c r="V19" s="231"/>
      <c r="W19" s="231"/>
      <c r="X19" s="231" t="n">
        <f aca="false">(X18/U18-1)*100</f>
        <v>4.93703003183097</v>
      </c>
      <c r="Y19" s="231"/>
      <c r="Z19" s="231"/>
      <c r="AA19" s="231" t="n">
        <f aca="false">(AA18/X18-1)*100</f>
        <v>8.49950763170853</v>
      </c>
      <c r="AB19" s="231"/>
    </row>
    <row r="20" customFormat="false" ht="15" hidden="false" customHeight="false" outlineLevel="0" collapsed="false">
      <c r="A20" s="210" t="s">
        <v>161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34"/>
      <c r="L20" s="234"/>
      <c r="M20" s="234"/>
      <c r="N20" s="234"/>
      <c r="O20" s="234"/>
      <c r="P20" s="234"/>
      <c r="Q20" s="235"/>
      <c r="R20" s="235"/>
      <c r="S20" s="235"/>
    </row>
    <row r="21" customFormat="false" ht="15" hidden="false" customHeight="false" outlineLevel="0" collapsed="false">
      <c r="A21" s="234" t="s">
        <v>162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5"/>
      <c r="R21" s="235"/>
      <c r="S21" s="235"/>
    </row>
    <row r="22" customFormat="false" ht="16.5" hidden="false" customHeight="true" outlineLevel="0" collapsed="false">
      <c r="A22" s="236" t="s">
        <v>163</v>
      </c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</row>
  </sheetData>
  <mergeCells count="20">
    <mergeCell ref="A1:S1"/>
    <mergeCell ref="A5:A7"/>
    <mergeCell ref="B5:V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8:A9"/>
    <mergeCell ref="A10:A11"/>
    <mergeCell ref="A12:A13"/>
    <mergeCell ref="A14:A15"/>
    <mergeCell ref="A16:A17"/>
    <mergeCell ref="A18:A19"/>
    <mergeCell ref="A20:J20"/>
    <mergeCell ref="A22:S22"/>
  </mergeCells>
  <printOptions headings="false" gridLines="false" gridLinesSet="true" horizontalCentered="true" verticalCentered="false"/>
  <pageMargins left="0.9" right="0.9" top="0.8" bottom="1.2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1" activeCellId="0" sqref="K41"/>
    </sheetView>
  </sheetViews>
  <sheetFormatPr defaultColWidth="7.78125" defaultRowHeight="12.75" customHeight="false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16.33"/>
    <col collapsed="false" customWidth="true" hidden="false" outlineLevel="0" max="14" min="3" style="1" width="7.33"/>
    <col collapsed="false" customWidth="true" hidden="false" outlineLevel="0" max="15" min="15" style="1" width="8.22"/>
    <col collapsed="false" customWidth="false" hidden="false" outlineLevel="0" max="256" min="16" style="1" width="7.78"/>
    <col collapsed="false" customWidth="true" hidden="false" outlineLevel="0" max="257" min="257" style="1" width="3.22"/>
    <col collapsed="false" customWidth="true" hidden="false" outlineLevel="0" max="258" min="258" style="1" width="16.33"/>
    <col collapsed="false" customWidth="true" hidden="false" outlineLevel="0" max="270" min="259" style="1" width="7.33"/>
    <col collapsed="false" customWidth="true" hidden="false" outlineLevel="0" max="271" min="271" style="1" width="8.22"/>
    <col collapsed="false" customWidth="false" hidden="false" outlineLevel="0" max="512" min="272" style="1" width="7.78"/>
    <col collapsed="false" customWidth="true" hidden="false" outlineLevel="0" max="513" min="513" style="1" width="3.22"/>
    <col collapsed="false" customWidth="true" hidden="false" outlineLevel="0" max="514" min="514" style="1" width="16.33"/>
    <col collapsed="false" customWidth="true" hidden="false" outlineLevel="0" max="526" min="515" style="1" width="7.33"/>
    <col collapsed="false" customWidth="true" hidden="false" outlineLevel="0" max="527" min="527" style="1" width="8.22"/>
    <col collapsed="false" customWidth="false" hidden="false" outlineLevel="0" max="768" min="528" style="1" width="7.78"/>
    <col collapsed="false" customWidth="true" hidden="false" outlineLevel="0" max="769" min="769" style="1" width="3.22"/>
    <col collapsed="false" customWidth="true" hidden="false" outlineLevel="0" max="770" min="770" style="1" width="16.33"/>
    <col collapsed="false" customWidth="true" hidden="false" outlineLevel="0" max="782" min="771" style="1" width="7.33"/>
    <col collapsed="false" customWidth="true" hidden="false" outlineLevel="0" max="783" min="783" style="1" width="8.22"/>
    <col collapsed="false" customWidth="false" hidden="false" outlineLevel="0" max="1024" min="784" style="1" width="7.78"/>
    <col collapsed="false" customWidth="true" hidden="false" outlineLevel="0" max="1025" min="1025" style="1" width="3.22"/>
    <col collapsed="false" customWidth="true" hidden="false" outlineLevel="0" max="1026" min="1026" style="1" width="16.33"/>
    <col collapsed="false" customWidth="true" hidden="false" outlineLevel="0" max="1038" min="1027" style="1" width="7.33"/>
    <col collapsed="false" customWidth="true" hidden="false" outlineLevel="0" max="1039" min="1039" style="1" width="8.22"/>
    <col collapsed="false" customWidth="false" hidden="false" outlineLevel="0" max="1280" min="1040" style="1" width="7.78"/>
    <col collapsed="false" customWidth="true" hidden="false" outlineLevel="0" max="1281" min="1281" style="1" width="3.22"/>
    <col collapsed="false" customWidth="true" hidden="false" outlineLevel="0" max="1282" min="1282" style="1" width="16.33"/>
    <col collapsed="false" customWidth="true" hidden="false" outlineLevel="0" max="1294" min="1283" style="1" width="7.33"/>
    <col collapsed="false" customWidth="true" hidden="false" outlineLevel="0" max="1295" min="1295" style="1" width="8.22"/>
    <col collapsed="false" customWidth="false" hidden="false" outlineLevel="0" max="1536" min="1296" style="1" width="7.78"/>
    <col collapsed="false" customWidth="true" hidden="false" outlineLevel="0" max="1537" min="1537" style="1" width="3.22"/>
    <col collapsed="false" customWidth="true" hidden="false" outlineLevel="0" max="1538" min="1538" style="1" width="16.33"/>
    <col collapsed="false" customWidth="true" hidden="false" outlineLevel="0" max="1550" min="1539" style="1" width="7.33"/>
    <col collapsed="false" customWidth="true" hidden="false" outlineLevel="0" max="1551" min="1551" style="1" width="8.22"/>
    <col collapsed="false" customWidth="false" hidden="false" outlineLevel="0" max="1792" min="1552" style="1" width="7.78"/>
    <col collapsed="false" customWidth="true" hidden="false" outlineLevel="0" max="1793" min="1793" style="1" width="3.22"/>
    <col collapsed="false" customWidth="true" hidden="false" outlineLevel="0" max="1794" min="1794" style="1" width="16.33"/>
    <col collapsed="false" customWidth="true" hidden="false" outlineLevel="0" max="1806" min="1795" style="1" width="7.33"/>
    <col collapsed="false" customWidth="true" hidden="false" outlineLevel="0" max="1807" min="1807" style="1" width="8.22"/>
    <col collapsed="false" customWidth="false" hidden="false" outlineLevel="0" max="2048" min="1808" style="1" width="7.78"/>
    <col collapsed="false" customWidth="true" hidden="false" outlineLevel="0" max="2049" min="2049" style="1" width="3.22"/>
    <col collapsed="false" customWidth="true" hidden="false" outlineLevel="0" max="2050" min="2050" style="1" width="16.33"/>
    <col collapsed="false" customWidth="true" hidden="false" outlineLevel="0" max="2062" min="2051" style="1" width="7.33"/>
    <col collapsed="false" customWidth="true" hidden="false" outlineLevel="0" max="2063" min="2063" style="1" width="8.22"/>
    <col collapsed="false" customWidth="false" hidden="false" outlineLevel="0" max="2304" min="2064" style="1" width="7.78"/>
    <col collapsed="false" customWidth="true" hidden="false" outlineLevel="0" max="2305" min="2305" style="1" width="3.22"/>
    <col collapsed="false" customWidth="true" hidden="false" outlineLevel="0" max="2306" min="2306" style="1" width="16.33"/>
    <col collapsed="false" customWidth="true" hidden="false" outlineLevel="0" max="2318" min="2307" style="1" width="7.33"/>
    <col collapsed="false" customWidth="true" hidden="false" outlineLevel="0" max="2319" min="2319" style="1" width="8.22"/>
    <col collapsed="false" customWidth="false" hidden="false" outlineLevel="0" max="2560" min="2320" style="1" width="7.78"/>
    <col collapsed="false" customWidth="true" hidden="false" outlineLevel="0" max="2561" min="2561" style="1" width="3.22"/>
    <col collapsed="false" customWidth="true" hidden="false" outlineLevel="0" max="2562" min="2562" style="1" width="16.33"/>
    <col collapsed="false" customWidth="true" hidden="false" outlineLevel="0" max="2574" min="2563" style="1" width="7.33"/>
    <col collapsed="false" customWidth="true" hidden="false" outlineLevel="0" max="2575" min="2575" style="1" width="8.22"/>
    <col collapsed="false" customWidth="false" hidden="false" outlineLevel="0" max="2816" min="2576" style="1" width="7.78"/>
    <col collapsed="false" customWidth="true" hidden="false" outlineLevel="0" max="2817" min="2817" style="1" width="3.22"/>
    <col collapsed="false" customWidth="true" hidden="false" outlineLevel="0" max="2818" min="2818" style="1" width="16.33"/>
    <col collapsed="false" customWidth="true" hidden="false" outlineLevel="0" max="2830" min="2819" style="1" width="7.33"/>
    <col collapsed="false" customWidth="true" hidden="false" outlineLevel="0" max="2831" min="2831" style="1" width="8.22"/>
    <col collapsed="false" customWidth="false" hidden="false" outlineLevel="0" max="3072" min="2832" style="1" width="7.78"/>
    <col collapsed="false" customWidth="true" hidden="false" outlineLevel="0" max="3073" min="3073" style="1" width="3.22"/>
    <col collapsed="false" customWidth="true" hidden="false" outlineLevel="0" max="3074" min="3074" style="1" width="16.33"/>
    <col collapsed="false" customWidth="true" hidden="false" outlineLevel="0" max="3086" min="3075" style="1" width="7.33"/>
    <col collapsed="false" customWidth="true" hidden="false" outlineLevel="0" max="3087" min="3087" style="1" width="8.22"/>
    <col collapsed="false" customWidth="false" hidden="false" outlineLevel="0" max="3328" min="3088" style="1" width="7.78"/>
    <col collapsed="false" customWidth="true" hidden="false" outlineLevel="0" max="3329" min="3329" style="1" width="3.22"/>
    <col collapsed="false" customWidth="true" hidden="false" outlineLevel="0" max="3330" min="3330" style="1" width="16.33"/>
    <col collapsed="false" customWidth="true" hidden="false" outlineLevel="0" max="3342" min="3331" style="1" width="7.33"/>
    <col collapsed="false" customWidth="true" hidden="false" outlineLevel="0" max="3343" min="3343" style="1" width="8.22"/>
    <col collapsed="false" customWidth="false" hidden="false" outlineLevel="0" max="3584" min="3344" style="1" width="7.78"/>
    <col collapsed="false" customWidth="true" hidden="false" outlineLevel="0" max="3585" min="3585" style="1" width="3.22"/>
    <col collapsed="false" customWidth="true" hidden="false" outlineLevel="0" max="3586" min="3586" style="1" width="16.33"/>
    <col collapsed="false" customWidth="true" hidden="false" outlineLevel="0" max="3598" min="3587" style="1" width="7.33"/>
    <col collapsed="false" customWidth="true" hidden="false" outlineLevel="0" max="3599" min="3599" style="1" width="8.22"/>
    <col collapsed="false" customWidth="false" hidden="false" outlineLevel="0" max="3840" min="3600" style="1" width="7.78"/>
    <col collapsed="false" customWidth="true" hidden="false" outlineLevel="0" max="3841" min="3841" style="1" width="3.22"/>
    <col collapsed="false" customWidth="true" hidden="false" outlineLevel="0" max="3842" min="3842" style="1" width="16.33"/>
    <col collapsed="false" customWidth="true" hidden="false" outlineLevel="0" max="3854" min="3843" style="1" width="7.33"/>
    <col collapsed="false" customWidth="true" hidden="false" outlineLevel="0" max="3855" min="3855" style="1" width="8.22"/>
    <col collapsed="false" customWidth="false" hidden="false" outlineLevel="0" max="4096" min="3856" style="1" width="7.78"/>
    <col collapsed="false" customWidth="true" hidden="false" outlineLevel="0" max="4097" min="4097" style="1" width="3.22"/>
    <col collapsed="false" customWidth="true" hidden="false" outlineLevel="0" max="4098" min="4098" style="1" width="16.33"/>
    <col collapsed="false" customWidth="true" hidden="false" outlineLevel="0" max="4110" min="4099" style="1" width="7.33"/>
    <col collapsed="false" customWidth="true" hidden="false" outlineLevel="0" max="4111" min="4111" style="1" width="8.22"/>
    <col collapsed="false" customWidth="false" hidden="false" outlineLevel="0" max="4352" min="4112" style="1" width="7.78"/>
    <col collapsed="false" customWidth="true" hidden="false" outlineLevel="0" max="4353" min="4353" style="1" width="3.22"/>
    <col collapsed="false" customWidth="true" hidden="false" outlineLevel="0" max="4354" min="4354" style="1" width="16.33"/>
    <col collapsed="false" customWidth="true" hidden="false" outlineLevel="0" max="4366" min="4355" style="1" width="7.33"/>
    <col collapsed="false" customWidth="true" hidden="false" outlineLevel="0" max="4367" min="4367" style="1" width="8.22"/>
    <col collapsed="false" customWidth="false" hidden="false" outlineLevel="0" max="4608" min="4368" style="1" width="7.78"/>
    <col collapsed="false" customWidth="true" hidden="false" outlineLevel="0" max="4609" min="4609" style="1" width="3.22"/>
    <col collapsed="false" customWidth="true" hidden="false" outlineLevel="0" max="4610" min="4610" style="1" width="16.33"/>
    <col collapsed="false" customWidth="true" hidden="false" outlineLevel="0" max="4622" min="4611" style="1" width="7.33"/>
    <col collapsed="false" customWidth="true" hidden="false" outlineLevel="0" max="4623" min="4623" style="1" width="8.22"/>
    <col collapsed="false" customWidth="false" hidden="false" outlineLevel="0" max="4864" min="4624" style="1" width="7.78"/>
    <col collapsed="false" customWidth="true" hidden="false" outlineLevel="0" max="4865" min="4865" style="1" width="3.22"/>
    <col collapsed="false" customWidth="true" hidden="false" outlineLevel="0" max="4866" min="4866" style="1" width="16.33"/>
    <col collapsed="false" customWidth="true" hidden="false" outlineLevel="0" max="4878" min="4867" style="1" width="7.33"/>
    <col collapsed="false" customWidth="true" hidden="false" outlineLevel="0" max="4879" min="4879" style="1" width="8.22"/>
    <col collapsed="false" customWidth="false" hidden="false" outlineLevel="0" max="5120" min="4880" style="1" width="7.78"/>
    <col collapsed="false" customWidth="true" hidden="false" outlineLevel="0" max="5121" min="5121" style="1" width="3.22"/>
    <col collapsed="false" customWidth="true" hidden="false" outlineLevel="0" max="5122" min="5122" style="1" width="16.33"/>
    <col collapsed="false" customWidth="true" hidden="false" outlineLevel="0" max="5134" min="5123" style="1" width="7.33"/>
    <col collapsed="false" customWidth="true" hidden="false" outlineLevel="0" max="5135" min="5135" style="1" width="8.22"/>
    <col collapsed="false" customWidth="false" hidden="false" outlineLevel="0" max="5376" min="5136" style="1" width="7.78"/>
    <col collapsed="false" customWidth="true" hidden="false" outlineLevel="0" max="5377" min="5377" style="1" width="3.22"/>
    <col collapsed="false" customWidth="true" hidden="false" outlineLevel="0" max="5378" min="5378" style="1" width="16.33"/>
    <col collapsed="false" customWidth="true" hidden="false" outlineLevel="0" max="5390" min="5379" style="1" width="7.33"/>
    <col collapsed="false" customWidth="true" hidden="false" outlineLevel="0" max="5391" min="5391" style="1" width="8.22"/>
    <col collapsed="false" customWidth="false" hidden="false" outlineLevel="0" max="5632" min="5392" style="1" width="7.78"/>
    <col collapsed="false" customWidth="true" hidden="false" outlineLevel="0" max="5633" min="5633" style="1" width="3.22"/>
    <col collapsed="false" customWidth="true" hidden="false" outlineLevel="0" max="5634" min="5634" style="1" width="16.33"/>
    <col collapsed="false" customWidth="true" hidden="false" outlineLevel="0" max="5646" min="5635" style="1" width="7.33"/>
    <col collapsed="false" customWidth="true" hidden="false" outlineLevel="0" max="5647" min="5647" style="1" width="8.22"/>
    <col collapsed="false" customWidth="false" hidden="false" outlineLevel="0" max="5888" min="5648" style="1" width="7.78"/>
    <col collapsed="false" customWidth="true" hidden="false" outlineLevel="0" max="5889" min="5889" style="1" width="3.22"/>
    <col collapsed="false" customWidth="true" hidden="false" outlineLevel="0" max="5890" min="5890" style="1" width="16.33"/>
    <col collapsed="false" customWidth="true" hidden="false" outlineLevel="0" max="5902" min="5891" style="1" width="7.33"/>
    <col collapsed="false" customWidth="true" hidden="false" outlineLevel="0" max="5903" min="5903" style="1" width="8.22"/>
    <col collapsed="false" customWidth="false" hidden="false" outlineLevel="0" max="6144" min="5904" style="1" width="7.78"/>
    <col collapsed="false" customWidth="true" hidden="false" outlineLevel="0" max="6145" min="6145" style="1" width="3.22"/>
    <col collapsed="false" customWidth="true" hidden="false" outlineLevel="0" max="6146" min="6146" style="1" width="16.33"/>
    <col collapsed="false" customWidth="true" hidden="false" outlineLevel="0" max="6158" min="6147" style="1" width="7.33"/>
    <col collapsed="false" customWidth="true" hidden="false" outlineLevel="0" max="6159" min="6159" style="1" width="8.22"/>
    <col collapsed="false" customWidth="false" hidden="false" outlineLevel="0" max="6400" min="6160" style="1" width="7.78"/>
    <col collapsed="false" customWidth="true" hidden="false" outlineLevel="0" max="6401" min="6401" style="1" width="3.22"/>
    <col collapsed="false" customWidth="true" hidden="false" outlineLevel="0" max="6402" min="6402" style="1" width="16.33"/>
    <col collapsed="false" customWidth="true" hidden="false" outlineLevel="0" max="6414" min="6403" style="1" width="7.33"/>
    <col collapsed="false" customWidth="true" hidden="false" outlineLevel="0" max="6415" min="6415" style="1" width="8.22"/>
    <col collapsed="false" customWidth="false" hidden="false" outlineLevel="0" max="6656" min="6416" style="1" width="7.78"/>
    <col collapsed="false" customWidth="true" hidden="false" outlineLevel="0" max="6657" min="6657" style="1" width="3.22"/>
    <col collapsed="false" customWidth="true" hidden="false" outlineLevel="0" max="6658" min="6658" style="1" width="16.33"/>
    <col collapsed="false" customWidth="true" hidden="false" outlineLevel="0" max="6670" min="6659" style="1" width="7.33"/>
    <col collapsed="false" customWidth="true" hidden="false" outlineLevel="0" max="6671" min="6671" style="1" width="8.22"/>
    <col collapsed="false" customWidth="false" hidden="false" outlineLevel="0" max="6912" min="6672" style="1" width="7.78"/>
    <col collapsed="false" customWidth="true" hidden="false" outlineLevel="0" max="6913" min="6913" style="1" width="3.22"/>
    <col collapsed="false" customWidth="true" hidden="false" outlineLevel="0" max="6914" min="6914" style="1" width="16.33"/>
    <col collapsed="false" customWidth="true" hidden="false" outlineLevel="0" max="6926" min="6915" style="1" width="7.33"/>
    <col collapsed="false" customWidth="true" hidden="false" outlineLevel="0" max="6927" min="6927" style="1" width="8.22"/>
    <col collapsed="false" customWidth="false" hidden="false" outlineLevel="0" max="7168" min="6928" style="1" width="7.78"/>
    <col collapsed="false" customWidth="true" hidden="false" outlineLevel="0" max="7169" min="7169" style="1" width="3.22"/>
    <col collapsed="false" customWidth="true" hidden="false" outlineLevel="0" max="7170" min="7170" style="1" width="16.33"/>
    <col collapsed="false" customWidth="true" hidden="false" outlineLevel="0" max="7182" min="7171" style="1" width="7.33"/>
    <col collapsed="false" customWidth="true" hidden="false" outlineLevel="0" max="7183" min="7183" style="1" width="8.22"/>
    <col collapsed="false" customWidth="false" hidden="false" outlineLevel="0" max="7424" min="7184" style="1" width="7.78"/>
    <col collapsed="false" customWidth="true" hidden="false" outlineLevel="0" max="7425" min="7425" style="1" width="3.22"/>
    <col collapsed="false" customWidth="true" hidden="false" outlineLevel="0" max="7426" min="7426" style="1" width="16.33"/>
    <col collapsed="false" customWidth="true" hidden="false" outlineLevel="0" max="7438" min="7427" style="1" width="7.33"/>
    <col collapsed="false" customWidth="true" hidden="false" outlineLevel="0" max="7439" min="7439" style="1" width="8.22"/>
    <col collapsed="false" customWidth="false" hidden="false" outlineLevel="0" max="7680" min="7440" style="1" width="7.78"/>
    <col collapsed="false" customWidth="true" hidden="false" outlineLevel="0" max="7681" min="7681" style="1" width="3.22"/>
    <col collapsed="false" customWidth="true" hidden="false" outlineLevel="0" max="7682" min="7682" style="1" width="16.33"/>
    <col collapsed="false" customWidth="true" hidden="false" outlineLevel="0" max="7694" min="7683" style="1" width="7.33"/>
    <col collapsed="false" customWidth="true" hidden="false" outlineLevel="0" max="7695" min="7695" style="1" width="8.22"/>
    <col collapsed="false" customWidth="false" hidden="false" outlineLevel="0" max="7936" min="7696" style="1" width="7.78"/>
    <col collapsed="false" customWidth="true" hidden="false" outlineLevel="0" max="7937" min="7937" style="1" width="3.22"/>
    <col collapsed="false" customWidth="true" hidden="false" outlineLevel="0" max="7938" min="7938" style="1" width="16.33"/>
    <col collapsed="false" customWidth="true" hidden="false" outlineLevel="0" max="7950" min="7939" style="1" width="7.33"/>
    <col collapsed="false" customWidth="true" hidden="false" outlineLevel="0" max="7951" min="7951" style="1" width="8.22"/>
    <col collapsed="false" customWidth="false" hidden="false" outlineLevel="0" max="8192" min="7952" style="1" width="7.78"/>
    <col collapsed="false" customWidth="true" hidden="false" outlineLevel="0" max="8193" min="8193" style="1" width="3.22"/>
    <col collapsed="false" customWidth="true" hidden="false" outlineLevel="0" max="8194" min="8194" style="1" width="16.33"/>
    <col collapsed="false" customWidth="true" hidden="false" outlineLevel="0" max="8206" min="8195" style="1" width="7.33"/>
    <col collapsed="false" customWidth="true" hidden="false" outlineLevel="0" max="8207" min="8207" style="1" width="8.22"/>
    <col collapsed="false" customWidth="false" hidden="false" outlineLevel="0" max="8448" min="8208" style="1" width="7.78"/>
    <col collapsed="false" customWidth="true" hidden="false" outlineLevel="0" max="8449" min="8449" style="1" width="3.22"/>
    <col collapsed="false" customWidth="true" hidden="false" outlineLevel="0" max="8450" min="8450" style="1" width="16.33"/>
    <col collapsed="false" customWidth="true" hidden="false" outlineLevel="0" max="8462" min="8451" style="1" width="7.33"/>
    <col collapsed="false" customWidth="true" hidden="false" outlineLevel="0" max="8463" min="8463" style="1" width="8.22"/>
    <col collapsed="false" customWidth="false" hidden="false" outlineLevel="0" max="8704" min="8464" style="1" width="7.78"/>
    <col collapsed="false" customWidth="true" hidden="false" outlineLevel="0" max="8705" min="8705" style="1" width="3.22"/>
    <col collapsed="false" customWidth="true" hidden="false" outlineLevel="0" max="8706" min="8706" style="1" width="16.33"/>
    <col collapsed="false" customWidth="true" hidden="false" outlineLevel="0" max="8718" min="8707" style="1" width="7.33"/>
    <col collapsed="false" customWidth="true" hidden="false" outlineLevel="0" max="8719" min="8719" style="1" width="8.22"/>
    <col collapsed="false" customWidth="false" hidden="false" outlineLevel="0" max="8960" min="8720" style="1" width="7.78"/>
    <col collapsed="false" customWidth="true" hidden="false" outlineLevel="0" max="8961" min="8961" style="1" width="3.22"/>
    <col collapsed="false" customWidth="true" hidden="false" outlineLevel="0" max="8962" min="8962" style="1" width="16.33"/>
    <col collapsed="false" customWidth="true" hidden="false" outlineLevel="0" max="8974" min="8963" style="1" width="7.33"/>
    <col collapsed="false" customWidth="true" hidden="false" outlineLevel="0" max="8975" min="8975" style="1" width="8.22"/>
    <col collapsed="false" customWidth="false" hidden="false" outlineLevel="0" max="9216" min="8976" style="1" width="7.78"/>
    <col collapsed="false" customWidth="true" hidden="false" outlineLevel="0" max="9217" min="9217" style="1" width="3.22"/>
    <col collapsed="false" customWidth="true" hidden="false" outlineLevel="0" max="9218" min="9218" style="1" width="16.33"/>
    <col collapsed="false" customWidth="true" hidden="false" outlineLevel="0" max="9230" min="9219" style="1" width="7.33"/>
    <col collapsed="false" customWidth="true" hidden="false" outlineLevel="0" max="9231" min="9231" style="1" width="8.22"/>
    <col collapsed="false" customWidth="false" hidden="false" outlineLevel="0" max="9472" min="9232" style="1" width="7.78"/>
    <col collapsed="false" customWidth="true" hidden="false" outlineLevel="0" max="9473" min="9473" style="1" width="3.22"/>
    <col collapsed="false" customWidth="true" hidden="false" outlineLevel="0" max="9474" min="9474" style="1" width="16.33"/>
    <col collapsed="false" customWidth="true" hidden="false" outlineLevel="0" max="9486" min="9475" style="1" width="7.33"/>
    <col collapsed="false" customWidth="true" hidden="false" outlineLevel="0" max="9487" min="9487" style="1" width="8.22"/>
    <col collapsed="false" customWidth="false" hidden="false" outlineLevel="0" max="9728" min="9488" style="1" width="7.78"/>
    <col collapsed="false" customWidth="true" hidden="false" outlineLevel="0" max="9729" min="9729" style="1" width="3.22"/>
    <col collapsed="false" customWidth="true" hidden="false" outlineLevel="0" max="9730" min="9730" style="1" width="16.33"/>
    <col collapsed="false" customWidth="true" hidden="false" outlineLevel="0" max="9742" min="9731" style="1" width="7.33"/>
    <col collapsed="false" customWidth="true" hidden="false" outlineLevel="0" max="9743" min="9743" style="1" width="8.22"/>
    <col collapsed="false" customWidth="false" hidden="false" outlineLevel="0" max="9984" min="9744" style="1" width="7.78"/>
    <col collapsed="false" customWidth="true" hidden="false" outlineLevel="0" max="9985" min="9985" style="1" width="3.22"/>
    <col collapsed="false" customWidth="true" hidden="false" outlineLevel="0" max="9986" min="9986" style="1" width="16.33"/>
    <col collapsed="false" customWidth="true" hidden="false" outlineLevel="0" max="9998" min="9987" style="1" width="7.33"/>
    <col collapsed="false" customWidth="true" hidden="false" outlineLevel="0" max="9999" min="9999" style="1" width="8.22"/>
    <col collapsed="false" customWidth="false" hidden="false" outlineLevel="0" max="10240" min="10000" style="1" width="7.78"/>
    <col collapsed="false" customWidth="true" hidden="false" outlineLevel="0" max="10241" min="10241" style="1" width="3.22"/>
    <col collapsed="false" customWidth="true" hidden="false" outlineLevel="0" max="10242" min="10242" style="1" width="16.33"/>
    <col collapsed="false" customWidth="true" hidden="false" outlineLevel="0" max="10254" min="10243" style="1" width="7.33"/>
    <col collapsed="false" customWidth="true" hidden="false" outlineLevel="0" max="10255" min="10255" style="1" width="8.22"/>
    <col collapsed="false" customWidth="false" hidden="false" outlineLevel="0" max="10496" min="10256" style="1" width="7.78"/>
    <col collapsed="false" customWidth="true" hidden="false" outlineLevel="0" max="10497" min="10497" style="1" width="3.22"/>
    <col collapsed="false" customWidth="true" hidden="false" outlineLevel="0" max="10498" min="10498" style="1" width="16.33"/>
    <col collapsed="false" customWidth="true" hidden="false" outlineLevel="0" max="10510" min="10499" style="1" width="7.33"/>
    <col collapsed="false" customWidth="true" hidden="false" outlineLevel="0" max="10511" min="10511" style="1" width="8.22"/>
    <col collapsed="false" customWidth="false" hidden="false" outlineLevel="0" max="10752" min="10512" style="1" width="7.78"/>
    <col collapsed="false" customWidth="true" hidden="false" outlineLevel="0" max="10753" min="10753" style="1" width="3.22"/>
    <col collapsed="false" customWidth="true" hidden="false" outlineLevel="0" max="10754" min="10754" style="1" width="16.33"/>
    <col collapsed="false" customWidth="true" hidden="false" outlineLevel="0" max="10766" min="10755" style="1" width="7.33"/>
    <col collapsed="false" customWidth="true" hidden="false" outlineLevel="0" max="10767" min="10767" style="1" width="8.22"/>
    <col collapsed="false" customWidth="false" hidden="false" outlineLevel="0" max="11008" min="10768" style="1" width="7.78"/>
    <col collapsed="false" customWidth="true" hidden="false" outlineLevel="0" max="11009" min="11009" style="1" width="3.22"/>
    <col collapsed="false" customWidth="true" hidden="false" outlineLevel="0" max="11010" min="11010" style="1" width="16.33"/>
    <col collapsed="false" customWidth="true" hidden="false" outlineLevel="0" max="11022" min="11011" style="1" width="7.33"/>
    <col collapsed="false" customWidth="true" hidden="false" outlineLevel="0" max="11023" min="11023" style="1" width="8.22"/>
    <col collapsed="false" customWidth="false" hidden="false" outlineLevel="0" max="11264" min="11024" style="1" width="7.78"/>
    <col collapsed="false" customWidth="true" hidden="false" outlineLevel="0" max="11265" min="11265" style="1" width="3.22"/>
    <col collapsed="false" customWidth="true" hidden="false" outlineLevel="0" max="11266" min="11266" style="1" width="16.33"/>
    <col collapsed="false" customWidth="true" hidden="false" outlineLevel="0" max="11278" min="11267" style="1" width="7.33"/>
    <col collapsed="false" customWidth="true" hidden="false" outlineLevel="0" max="11279" min="11279" style="1" width="8.22"/>
    <col collapsed="false" customWidth="false" hidden="false" outlineLevel="0" max="11520" min="11280" style="1" width="7.78"/>
    <col collapsed="false" customWidth="true" hidden="false" outlineLevel="0" max="11521" min="11521" style="1" width="3.22"/>
    <col collapsed="false" customWidth="true" hidden="false" outlineLevel="0" max="11522" min="11522" style="1" width="16.33"/>
    <col collapsed="false" customWidth="true" hidden="false" outlineLevel="0" max="11534" min="11523" style="1" width="7.33"/>
    <col collapsed="false" customWidth="true" hidden="false" outlineLevel="0" max="11535" min="11535" style="1" width="8.22"/>
    <col collapsed="false" customWidth="false" hidden="false" outlineLevel="0" max="11776" min="11536" style="1" width="7.78"/>
    <col collapsed="false" customWidth="true" hidden="false" outlineLevel="0" max="11777" min="11777" style="1" width="3.22"/>
    <col collapsed="false" customWidth="true" hidden="false" outlineLevel="0" max="11778" min="11778" style="1" width="16.33"/>
    <col collapsed="false" customWidth="true" hidden="false" outlineLevel="0" max="11790" min="11779" style="1" width="7.33"/>
    <col collapsed="false" customWidth="true" hidden="false" outlineLevel="0" max="11791" min="11791" style="1" width="8.22"/>
    <col collapsed="false" customWidth="false" hidden="false" outlineLevel="0" max="12032" min="11792" style="1" width="7.78"/>
    <col collapsed="false" customWidth="true" hidden="false" outlineLevel="0" max="12033" min="12033" style="1" width="3.22"/>
    <col collapsed="false" customWidth="true" hidden="false" outlineLevel="0" max="12034" min="12034" style="1" width="16.33"/>
    <col collapsed="false" customWidth="true" hidden="false" outlineLevel="0" max="12046" min="12035" style="1" width="7.33"/>
    <col collapsed="false" customWidth="true" hidden="false" outlineLevel="0" max="12047" min="12047" style="1" width="8.22"/>
    <col collapsed="false" customWidth="false" hidden="false" outlineLevel="0" max="12288" min="12048" style="1" width="7.78"/>
    <col collapsed="false" customWidth="true" hidden="false" outlineLevel="0" max="12289" min="12289" style="1" width="3.22"/>
    <col collapsed="false" customWidth="true" hidden="false" outlineLevel="0" max="12290" min="12290" style="1" width="16.33"/>
    <col collapsed="false" customWidth="true" hidden="false" outlineLevel="0" max="12302" min="12291" style="1" width="7.33"/>
    <col collapsed="false" customWidth="true" hidden="false" outlineLevel="0" max="12303" min="12303" style="1" width="8.22"/>
    <col collapsed="false" customWidth="false" hidden="false" outlineLevel="0" max="12544" min="12304" style="1" width="7.78"/>
    <col collapsed="false" customWidth="true" hidden="false" outlineLevel="0" max="12545" min="12545" style="1" width="3.22"/>
    <col collapsed="false" customWidth="true" hidden="false" outlineLevel="0" max="12546" min="12546" style="1" width="16.33"/>
    <col collapsed="false" customWidth="true" hidden="false" outlineLevel="0" max="12558" min="12547" style="1" width="7.33"/>
    <col collapsed="false" customWidth="true" hidden="false" outlineLevel="0" max="12559" min="12559" style="1" width="8.22"/>
    <col collapsed="false" customWidth="false" hidden="false" outlineLevel="0" max="12800" min="12560" style="1" width="7.78"/>
    <col collapsed="false" customWidth="true" hidden="false" outlineLevel="0" max="12801" min="12801" style="1" width="3.22"/>
    <col collapsed="false" customWidth="true" hidden="false" outlineLevel="0" max="12802" min="12802" style="1" width="16.33"/>
    <col collapsed="false" customWidth="true" hidden="false" outlineLevel="0" max="12814" min="12803" style="1" width="7.33"/>
    <col collapsed="false" customWidth="true" hidden="false" outlineLevel="0" max="12815" min="12815" style="1" width="8.22"/>
    <col collapsed="false" customWidth="false" hidden="false" outlineLevel="0" max="13056" min="12816" style="1" width="7.78"/>
    <col collapsed="false" customWidth="true" hidden="false" outlineLevel="0" max="13057" min="13057" style="1" width="3.22"/>
    <col collapsed="false" customWidth="true" hidden="false" outlineLevel="0" max="13058" min="13058" style="1" width="16.33"/>
    <col collapsed="false" customWidth="true" hidden="false" outlineLevel="0" max="13070" min="13059" style="1" width="7.33"/>
    <col collapsed="false" customWidth="true" hidden="false" outlineLevel="0" max="13071" min="13071" style="1" width="8.22"/>
    <col collapsed="false" customWidth="false" hidden="false" outlineLevel="0" max="13312" min="13072" style="1" width="7.78"/>
    <col collapsed="false" customWidth="true" hidden="false" outlineLevel="0" max="13313" min="13313" style="1" width="3.22"/>
    <col collapsed="false" customWidth="true" hidden="false" outlineLevel="0" max="13314" min="13314" style="1" width="16.33"/>
    <col collapsed="false" customWidth="true" hidden="false" outlineLevel="0" max="13326" min="13315" style="1" width="7.33"/>
    <col collapsed="false" customWidth="true" hidden="false" outlineLevel="0" max="13327" min="13327" style="1" width="8.22"/>
    <col collapsed="false" customWidth="false" hidden="false" outlineLevel="0" max="13568" min="13328" style="1" width="7.78"/>
    <col collapsed="false" customWidth="true" hidden="false" outlineLevel="0" max="13569" min="13569" style="1" width="3.22"/>
    <col collapsed="false" customWidth="true" hidden="false" outlineLevel="0" max="13570" min="13570" style="1" width="16.33"/>
    <col collapsed="false" customWidth="true" hidden="false" outlineLevel="0" max="13582" min="13571" style="1" width="7.33"/>
    <col collapsed="false" customWidth="true" hidden="false" outlineLevel="0" max="13583" min="13583" style="1" width="8.22"/>
    <col collapsed="false" customWidth="false" hidden="false" outlineLevel="0" max="13824" min="13584" style="1" width="7.78"/>
    <col collapsed="false" customWidth="true" hidden="false" outlineLevel="0" max="13825" min="13825" style="1" width="3.22"/>
    <col collapsed="false" customWidth="true" hidden="false" outlineLevel="0" max="13826" min="13826" style="1" width="16.33"/>
    <col collapsed="false" customWidth="true" hidden="false" outlineLevel="0" max="13838" min="13827" style="1" width="7.33"/>
    <col collapsed="false" customWidth="true" hidden="false" outlineLevel="0" max="13839" min="13839" style="1" width="8.22"/>
    <col collapsed="false" customWidth="false" hidden="false" outlineLevel="0" max="14080" min="13840" style="1" width="7.78"/>
    <col collapsed="false" customWidth="true" hidden="false" outlineLevel="0" max="14081" min="14081" style="1" width="3.22"/>
    <col collapsed="false" customWidth="true" hidden="false" outlineLevel="0" max="14082" min="14082" style="1" width="16.33"/>
    <col collapsed="false" customWidth="true" hidden="false" outlineLevel="0" max="14094" min="14083" style="1" width="7.33"/>
    <col collapsed="false" customWidth="true" hidden="false" outlineLevel="0" max="14095" min="14095" style="1" width="8.22"/>
    <col collapsed="false" customWidth="false" hidden="false" outlineLevel="0" max="14336" min="14096" style="1" width="7.78"/>
    <col collapsed="false" customWidth="true" hidden="false" outlineLevel="0" max="14337" min="14337" style="1" width="3.22"/>
    <col collapsed="false" customWidth="true" hidden="false" outlineLevel="0" max="14338" min="14338" style="1" width="16.33"/>
    <col collapsed="false" customWidth="true" hidden="false" outlineLevel="0" max="14350" min="14339" style="1" width="7.33"/>
    <col collapsed="false" customWidth="true" hidden="false" outlineLevel="0" max="14351" min="14351" style="1" width="8.22"/>
    <col collapsed="false" customWidth="false" hidden="false" outlineLevel="0" max="14592" min="14352" style="1" width="7.78"/>
    <col collapsed="false" customWidth="true" hidden="false" outlineLevel="0" max="14593" min="14593" style="1" width="3.22"/>
    <col collapsed="false" customWidth="true" hidden="false" outlineLevel="0" max="14594" min="14594" style="1" width="16.33"/>
    <col collapsed="false" customWidth="true" hidden="false" outlineLevel="0" max="14606" min="14595" style="1" width="7.33"/>
    <col collapsed="false" customWidth="true" hidden="false" outlineLevel="0" max="14607" min="14607" style="1" width="8.22"/>
    <col collapsed="false" customWidth="false" hidden="false" outlineLevel="0" max="14848" min="14608" style="1" width="7.78"/>
    <col collapsed="false" customWidth="true" hidden="false" outlineLevel="0" max="14849" min="14849" style="1" width="3.22"/>
    <col collapsed="false" customWidth="true" hidden="false" outlineLevel="0" max="14850" min="14850" style="1" width="16.33"/>
    <col collapsed="false" customWidth="true" hidden="false" outlineLevel="0" max="14862" min="14851" style="1" width="7.33"/>
    <col collapsed="false" customWidth="true" hidden="false" outlineLevel="0" max="14863" min="14863" style="1" width="8.22"/>
    <col collapsed="false" customWidth="false" hidden="false" outlineLevel="0" max="15104" min="14864" style="1" width="7.78"/>
    <col collapsed="false" customWidth="true" hidden="false" outlineLevel="0" max="15105" min="15105" style="1" width="3.22"/>
    <col collapsed="false" customWidth="true" hidden="false" outlineLevel="0" max="15106" min="15106" style="1" width="16.33"/>
    <col collapsed="false" customWidth="true" hidden="false" outlineLevel="0" max="15118" min="15107" style="1" width="7.33"/>
    <col collapsed="false" customWidth="true" hidden="false" outlineLevel="0" max="15119" min="15119" style="1" width="8.22"/>
    <col collapsed="false" customWidth="false" hidden="false" outlineLevel="0" max="15360" min="15120" style="1" width="7.78"/>
    <col collapsed="false" customWidth="true" hidden="false" outlineLevel="0" max="15361" min="15361" style="1" width="3.22"/>
    <col collapsed="false" customWidth="true" hidden="false" outlineLevel="0" max="15362" min="15362" style="1" width="16.33"/>
    <col collapsed="false" customWidth="true" hidden="false" outlineLevel="0" max="15374" min="15363" style="1" width="7.33"/>
    <col collapsed="false" customWidth="true" hidden="false" outlineLevel="0" max="15375" min="15375" style="1" width="8.22"/>
    <col collapsed="false" customWidth="false" hidden="false" outlineLevel="0" max="15616" min="15376" style="1" width="7.78"/>
    <col collapsed="false" customWidth="true" hidden="false" outlineLevel="0" max="15617" min="15617" style="1" width="3.22"/>
    <col collapsed="false" customWidth="true" hidden="false" outlineLevel="0" max="15618" min="15618" style="1" width="16.33"/>
    <col collapsed="false" customWidth="true" hidden="false" outlineLevel="0" max="15630" min="15619" style="1" width="7.33"/>
    <col collapsed="false" customWidth="true" hidden="false" outlineLevel="0" max="15631" min="15631" style="1" width="8.22"/>
    <col collapsed="false" customWidth="false" hidden="false" outlineLevel="0" max="15872" min="15632" style="1" width="7.78"/>
    <col collapsed="false" customWidth="true" hidden="false" outlineLevel="0" max="15873" min="15873" style="1" width="3.22"/>
    <col collapsed="false" customWidth="true" hidden="false" outlineLevel="0" max="15874" min="15874" style="1" width="16.33"/>
    <col collapsed="false" customWidth="true" hidden="false" outlineLevel="0" max="15886" min="15875" style="1" width="7.33"/>
    <col collapsed="false" customWidth="true" hidden="false" outlineLevel="0" max="15887" min="15887" style="1" width="8.22"/>
    <col collapsed="false" customWidth="false" hidden="false" outlineLevel="0" max="16128" min="15888" style="1" width="7.78"/>
    <col collapsed="false" customWidth="true" hidden="false" outlineLevel="0" max="16129" min="16129" style="1" width="3.22"/>
    <col collapsed="false" customWidth="true" hidden="false" outlineLevel="0" max="16130" min="16130" style="1" width="16.33"/>
    <col collapsed="false" customWidth="true" hidden="false" outlineLevel="0" max="16142" min="16131" style="1" width="7.33"/>
    <col collapsed="false" customWidth="true" hidden="false" outlineLevel="0" max="16143" min="16143" style="1" width="8.22"/>
    <col collapsed="false" customWidth="false" hidden="false" outlineLevel="0" max="16384" min="16144" style="1" width="7.78"/>
  </cols>
  <sheetData>
    <row r="1" s="2" customFormat="true" ht="27" hidden="false" customHeight="true" outlineLevel="0" collapsed="false">
      <c r="A1" s="3" t="s">
        <v>164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2.75" hidden="false" customHeight="false" outlineLevel="0" collapsed="false">
      <c r="A2" s="237" t="s">
        <v>165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</row>
    <row r="3" customFormat="false" ht="15" hidden="false" customHeight="true" outlineLevel="0" collapsed="false">
      <c r="A3" s="238" t="s">
        <v>166</v>
      </c>
      <c r="B3" s="238"/>
      <c r="C3" s="239" t="s">
        <v>167</v>
      </c>
      <c r="D3" s="240" t="s">
        <v>16</v>
      </c>
      <c r="E3" s="240" t="s">
        <v>17</v>
      </c>
      <c r="F3" s="240" t="s">
        <v>18</v>
      </c>
      <c r="G3" s="240" t="s">
        <v>19</v>
      </c>
      <c r="H3" s="240" t="s">
        <v>20</v>
      </c>
      <c r="I3" s="240" t="s">
        <v>21</v>
      </c>
      <c r="J3" s="240" t="s">
        <v>22</v>
      </c>
      <c r="K3" s="240" t="s">
        <v>23</v>
      </c>
      <c r="L3" s="240" t="s">
        <v>35</v>
      </c>
      <c r="M3" s="240" t="s">
        <v>36</v>
      </c>
      <c r="N3" s="240" t="s">
        <v>37</v>
      </c>
      <c r="O3" s="241" t="s">
        <v>168</v>
      </c>
    </row>
    <row r="4" customFormat="false" ht="15" hidden="false" customHeight="true" outlineLevel="0" collapsed="false">
      <c r="A4" s="238"/>
      <c r="B4" s="238"/>
      <c r="C4" s="239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1"/>
    </row>
    <row r="5" s="248" customFormat="true" ht="12.75" hidden="false" customHeight="false" outlineLevel="0" collapsed="false">
      <c r="A5" s="242" t="n">
        <v>1</v>
      </c>
      <c r="B5" s="243" t="s">
        <v>4</v>
      </c>
      <c r="C5" s="244" t="n">
        <v>37.31</v>
      </c>
      <c r="D5" s="244" t="n">
        <v>100</v>
      </c>
      <c r="E5" s="244" t="n">
        <v>102.41</v>
      </c>
      <c r="F5" s="245" t="n">
        <v>95.43</v>
      </c>
      <c r="G5" s="245" t="n">
        <v>105.03</v>
      </c>
      <c r="H5" s="245" t="n">
        <v>116.23</v>
      </c>
      <c r="I5" s="245" t="n">
        <v>121.97</v>
      </c>
      <c r="J5" s="245" t="n">
        <v>124.03</v>
      </c>
      <c r="K5" s="245" t="n">
        <v>116.81</v>
      </c>
      <c r="L5" s="246" t="n">
        <v>108.75</v>
      </c>
      <c r="M5" s="246" t="n">
        <v>125.83</v>
      </c>
      <c r="N5" s="246" t="n">
        <v>116.73</v>
      </c>
      <c r="O5" s="247" t="n">
        <f aca="false">(N5-M5)/M5*100</f>
        <v>-7.2319796550902</v>
      </c>
    </row>
    <row r="6" customFormat="false" ht="12.75" hidden="false" customHeight="false" outlineLevel="0" collapsed="false">
      <c r="A6" s="249"/>
      <c r="B6" s="250" t="s">
        <v>25</v>
      </c>
      <c r="C6" s="244" t="n">
        <v>20.95</v>
      </c>
      <c r="D6" s="244" t="n">
        <v>100</v>
      </c>
      <c r="E6" s="244" t="n">
        <v>101.92</v>
      </c>
      <c r="F6" s="245" t="n">
        <v>87.9</v>
      </c>
      <c r="G6" s="245" t="n">
        <v>105.68</v>
      </c>
      <c r="H6" s="245" t="n">
        <v>116.39</v>
      </c>
      <c r="I6" s="245" t="n">
        <v>120.13</v>
      </c>
      <c r="J6" s="245" t="n">
        <v>123.27</v>
      </c>
      <c r="K6" s="245" t="n">
        <v>113.57</v>
      </c>
      <c r="L6" s="246" t="n">
        <v>95.58</v>
      </c>
      <c r="M6" s="246" t="n">
        <v>123.1</v>
      </c>
      <c r="N6" s="246" t="n">
        <v>103.19</v>
      </c>
      <c r="O6" s="247" t="n">
        <f aca="false">(N6-M6)/M6*100</f>
        <v>-16.1738424045491</v>
      </c>
    </row>
    <row r="7" customFormat="false" ht="12.75" hidden="false" customHeight="false" outlineLevel="0" collapsed="false">
      <c r="A7" s="249"/>
      <c r="B7" s="250" t="s">
        <v>28</v>
      </c>
      <c r="C7" s="244" t="n">
        <v>9.05</v>
      </c>
      <c r="D7" s="244" t="n">
        <v>100</v>
      </c>
      <c r="E7" s="244" t="n">
        <v>101.47</v>
      </c>
      <c r="F7" s="245" t="n">
        <v>99.66</v>
      </c>
      <c r="G7" s="245" t="n">
        <v>97.97</v>
      </c>
      <c r="H7" s="245" t="n">
        <v>109.59</v>
      </c>
      <c r="I7" s="245" t="n">
        <v>117.31</v>
      </c>
      <c r="J7" s="245" t="n">
        <v>119.94</v>
      </c>
      <c r="K7" s="245" t="n">
        <v>117.62</v>
      </c>
      <c r="L7" s="246" t="n">
        <v>126</v>
      </c>
      <c r="M7" s="246" t="n">
        <v>118.13</v>
      </c>
      <c r="N7" s="246" t="n">
        <v>124.32</v>
      </c>
      <c r="O7" s="247" t="n">
        <f aca="false">(N7-M7)/M7*100</f>
        <v>5.23998984169982</v>
      </c>
    </row>
    <row r="8" customFormat="false" ht="12.75" hidden="false" customHeight="false" outlineLevel="0" collapsed="false">
      <c r="A8" s="249"/>
      <c r="B8" s="250" t="s">
        <v>29</v>
      </c>
      <c r="C8" s="244" t="n">
        <v>4.63</v>
      </c>
      <c r="D8" s="244" t="n">
        <v>100</v>
      </c>
      <c r="E8" s="244" t="n">
        <v>108.18</v>
      </c>
      <c r="F8" s="245" t="n">
        <v>118.78</v>
      </c>
      <c r="G8" s="245" t="n">
        <v>118.4</v>
      </c>
      <c r="H8" s="245" t="n">
        <v>132.46</v>
      </c>
      <c r="I8" s="245" t="n">
        <v>136.72</v>
      </c>
      <c r="J8" s="245" t="n">
        <v>133.69</v>
      </c>
      <c r="K8" s="245" t="n">
        <v>124.6</v>
      </c>
      <c r="L8" s="246" t="n">
        <v>122.33</v>
      </c>
      <c r="M8" s="246" t="n">
        <v>139.54</v>
      </c>
      <c r="N8" s="246" t="n">
        <v>146.12</v>
      </c>
      <c r="O8" s="247" t="n">
        <f aca="false">(N8-M8)/M8*100</f>
        <v>4.71549376522862</v>
      </c>
    </row>
    <row r="9" customFormat="false" ht="12.75" hidden="false" customHeight="false" outlineLevel="0" collapsed="false">
      <c r="A9" s="249"/>
      <c r="B9" s="250" t="s">
        <v>31</v>
      </c>
      <c r="C9" s="244" t="n">
        <v>2.41</v>
      </c>
      <c r="D9" s="244" t="n">
        <v>100</v>
      </c>
      <c r="E9" s="244" t="n">
        <v>99.99</v>
      </c>
      <c r="F9" s="245" t="n">
        <v>99.53</v>
      </c>
      <c r="G9" s="245" t="n">
        <v>100.87</v>
      </c>
      <c r="H9" s="245" t="n">
        <v>109.69</v>
      </c>
      <c r="I9" s="245" t="n">
        <v>128.59</v>
      </c>
      <c r="J9" s="245" t="n">
        <v>128.91</v>
      </c>
      <c r="K9" s="245" t="n">
        <v>127.71</v>
      </c>
      <c r="L9" s="246" t="n">
        <v>132.23</v>
      </c>
      <c r="M9" s="246" t="n">
        <v>153.27</v>
      </c>
      <c r="N9" s="246" t="n">
        <v>149.41</v>
      </c>
      <c r="O9" s="247" t="n">
        <f aca="false">(N9-M9)/M9*100</f>
        <v>-2.51843152606512</v>
      </c>
    </row>
    <row r="10" customFormat="false" ht="12.75" hidden="false" customHeight="false" outlineLevel="0" collapsed="false">
      <c r="A10" s="249"/>
      <c r="B10" s="251" t="s">
        <v>30</v>
      </c>
      <c r="C10" s="244" t="n">
        <v>0.26</v>
      </c>
      <c r="D10" s="244" t="n">
        <v>100</v>
      </c>
      <c r="E10" s="244" t="n">
        <v>94</v>
      </c>
      <c r="F10" s="245" t="n">
        <v>101.18</v>
      </c>
      <c r="G10" s="245" t="n">
        <v>98.15</v>
      </c>
      <c r="H10" s="245" t="n">
        <v>107.07</v>
      </c>
      <c r="I10" s="245" t="n">
        <v>108.68</v>
      </c>
      <c r="J10" s="245" t="n">
        <v>110.53</v>
      </c>
      <c r="K10" s="245" t="n">
        <v>109.64</v>
      </c>
      <c r="L10" s="246" t="n">
        <v>109.52</v>
      </c>
      <c r="M10" s="246" t="n">
        <v>115.08</v>
      </c>
      <c r="N10" s="246" t="n">
        <v>117.1</v>
      </c>
      <c r="O10" s="247" t="n">
        <f aca="false">(N10-M10)/M10*100</f>
        <v>1.75530066041015</v>
      </c>
    </row>
    <row r="11" customFormat="false" ht="12.75" hidden="false" customHeight="false" outlineLevel="0" collapsed="false">
      <c r="A11" s="249" t="n">
        <v>2</v>
      </c>
      <c r="B11" s="243" t="s">
        <v>65</v>
      </c>
      <c r="C11" s="244" t="n">
        <v>6</v>
      </c>
      <c r="D11" s="244" t="n">
        <v>100</v>
      </c>
      <c r="E11" s="244" t="n">
        <v>96.24</v>
      </c>
      <c r="F11" s="245" t="n">
        <v>89.51</v>
      </c>
      <c r="G11" s="245" t="n">
        <v>105.8</v>
      </c>
      <c r="H11" s="245" t="n">
        <v>113.68</v>
      </c>
      <c r="I11" s="245" t="n">
        <v>120.26</v>
      </c>
      <c r="J11" s="245" t="n">
        <v>127.16</v>
      </c>
      <c r="K11" s="245" t="n">
        <v>127.88</v>
      </c>
      <c r="L11" s="246" t="n">
        <v>128.46</v>
      </c>
      <c r="M11" s="246" t="n">
        <v>136.08</v>
      </c>
      <c r="N11" s="246" t="n">
        <v>144.23</v>
      </c>
      <c r="O11" s="247" t="n">
        <f aca="false">(N11-M11)/M11*100</f>
        <v>5.98912404467958</v>
      </c>
    </row>
    <row r="12" customFormat="false" ht="12.75" hidden="false" customHeight="false" outlineLevel="0" collapsed="false">
      <c r="A12" s="249"/>
      <c r="B12" s="22" t="s">
        <v>155</v>
      </c>
      <c r="C12" s="244" t="n">
        <v>0.42</v>
      </c>
      <c r="D12" s="244" t="n">
        <v>100</v>
      </c>
      <c r="E12" s="244" t="n">
        <v>133.44</v>
      </c>
      <c r="F12" s="245" t="n">
        <v>147.38</v>
      </c>
      <c r="G12" s="245" t="n">
        <v>192.85</v>
      </c>
      <c r="H12" s="245" t="n">
        <v>212.89</v>
      </c>
      <c r="I12" s="245" t="n">
        <v>234.8</v>
      </c>
      <c r="J12" s="245" t="n">
        <v>260.38</v>
      </c>
      <c r="K12" s="245" t="n">
        <v>303.98</v>
      </c>
      <c r="L12" s="246" t="n">
        <v>321.52</v>
      </c>
      <c r="M12" s="246" t="n">
        <v>336.77</v>
      </c>
      <c r="N12" s="246" t="n">
        <v>353.23</v>
      </c>
      <c r="O12" s="247" t="n">
        <f aca="false">(N12-M12)/M12*100</f>
        <v>4.88760875374886</v>
      </c>
    </row>
    <row r="13" customFormat="false" ht="12.75" hidden="false" customHeight="false" outlineLevel="0" collapsed="false">
      <c r="A13" s="249"/>
      <c r="B13" s="22" t="s">
        <v>132</v>
      </c>
      <c r="C13" s="244" t="n">
        <v>1.83</v>
      </c>
      <c r="D13" s="244" t="n">
        <v>100</v>
      </c>
      <c r="E13" s="244" t="n">
        <v>87.81</v>
      </c>
      <c r="F13" s="245" t="n">
        <v>88.56</v>
      </c>
      <c r="G13" s="245" t="n">
        <v>95.49</v>
      </c>
      <c r="H13" s="245" t="n">
        <v>97.93</v>
      </c>
      <c r="I13" s="245" t="n">
        <v>97.68</v>
      </c>
      <c r="J13" s="245" t="n">
        <v>91.83</v>
      </c>
      <c r="K13" s="245" t="n">
        <v>88.35</v>
      </c>
      <c r="L13" s="246" t="n">
        <v>94.34</v>
      </c>
      <c r="M13" s="246" t="n">
        <v>98.81</v>
      </c>
      <c r="N13" s="246" t="n">
        <v>102.78</v>
      </c>
      <c r="O13" s="247" t="n">
        <f aca="false">(N13-M13)/M13*100</f>
        <v>4.01781196235199</v>
      </c>
    </row>
    <row r="14" customFormat="false" ht="12.75" hidden="false" customHeight="false" outlineLevel="0" collapsed="false">
      <c r="A14" s="249"/>
      <c r="B14" s="22" t="s">
        <v>68</v>
      </c>
      <c r="C14" s="244" t="n">
        <v>0.36</v>
      </c>
      <c r="D14" s="244" t="n">
        <v>100</v>
      </c>
      <c r="E14" s="244" t="n">
        <v>73.17</v>
      </c>
      <c r="F14" s="245" t="n">
        <v>76.47</v>
      </c>
      <c r="G14" s="245" t="n">
        <v>69.72</v>
      </c>
      <c r="H14" s="245" t="n">
        <v>84.12</v>
      </c>
      <c r="I14" s="245" t="n">
        <v>103.21</v>
      </c>
      <c r="J14" s="245" t="n">
        <v>109.16</v>
      </c>
      <c r="K14" s="245" t="n">
        <v>93.87</v>
      </c>
      <c r="L14" s="246" t="n">
        <v>94.12</v>
      </c>
      <c r="M14" s="246" t="n">
        <v>100.22</v>
      </c>
      <c r="N14" s="246" t="n">
        <v>103.97</v>
      </c>
      <c r="O14" s="247" t="n">
        <f aca="false">(N14-M14)/M14*100</f>
        <v>3.74176811015765</v>
      </c>
    </row>
    <row r="15" customFormat="false" ht="12.75" hidden="false" customHeight="false" outlineLevel="0" collapsed="false">
      <c r="A15" s="249"/>
      <c r="B15" s="22" t="s">
        <v>70</v>
      </c>
      <c r="C15" s="244" t="n">
        <v>0.56</v>
      </c>
      <c r="D15" s="244" t="n">
        <v>100</v>
      </c>
      <c r="E15" s="244" t="n">
        <v>184.46</v>
      </c>
      <c r="F15" s="245" t="n">
        <v>70.8</v>
      </c>
      <c r="G15" s="245" t="n">
        <v>47.7</v>
      </c>
      <c r="H15" s="245" t="n">
        <v>53.21</v>
      </c>
      <c r="I15" s="245" t="n">
        <v>47.13</v>
      </c>
      <c r="J15" s="245" t="n">
        <v>48.46</v>
      </c>
      <c r="K15" s="245" t="n">
        <v>57.53</v>
      </c>
      <c r="L15" s="246" t="n">
        <v>30.23</v>
      </c>
      <c r="M15" s="246" t="n">
        <v>34.63</v>
      </c>
      <c r="N15" s="246" t="n">
        <v>34.27</v>
      </c>
      <c r="O15" s="247" t="n">
        <f aca="false">(N15-M15)/M15*100</f>
        <v>-1.03956107421311</v>
      </c>
    </row>
    <row r="16" customFormat="false" ht="12.75" hidden="false" customHeight="false" outlineLevel="0" collapsed="false">
      <c r="A16" s="249"/>
      <c r="B16" s="22" t="s">
        <v>69</v>
      </c>
      <c r="C16" s="244" t="n">
        <v>2.83</v>
      </c>
      <c r="D16" s="244" t="n">
        <v>100</v>
      </c>
      <c r="E16" s="244" t="n">
        <v>81.77</v>
      </c>
      <c r="F16" s="245" t="n">
        <v>86.87</v>
      </c>
      <c r="G16" s="245" t="n">
        <v>115.56</v>
      </c>
      <c r="H16" s="245" t="n">
        <v>124.77</v>
      </c>
      <c r="I16" s="245" t="n">
        <v>134.36</v>
      </c>
      <c r="J16" s="245" t="n">
        <v>147.92</v>
      </c>
      <c r="K16" s="245" t="n">
        <v>145.39</v>
      </c>
      <c r="L16" s="246" t="n">
        <v>145.48</v>
      </c>
      <c r="M16" s="246" t="n">
        <v>154.82</v>
      </c>
      <c r="N16" s="246" t="n">
        <v>166.67</v>
      </c>
      <c r="O16" s="247" t="n">
        <f aca="false">(N16-M16)/M16*100</f>
        <v>7.65404986435861</v>
      </c>
    </row>
    <row r="17" customFormat="false" ht="12.75" hidden="false" customHeight="false" outlineLevel="0" collapsed="false">
      <c r="A17" s="249" t="n">
        <v>3</v>
      </c>
      <c r="B17" s="243" t="s">
        <v>74</v>
      </c>
      <c r="C17" s="244" t="n">
        <v>14.53</v>
      </c>
      <c r="D17" s="244" t="n">
        <v>100</v>
      </c>
      <c r="E17" s="244" t="n">
        <v>106.43</v>
      </c>
      <c r="F17" s="245" t="n">
        <v>114.61</v>
      </c>
      <c r="G17" s="245" t="n">
        <v>115.61</v>
      </c>
      <c r="H17" s="245" t="n">
        <v>121.17</v>
      </c>
      <c r="I17" s="245" t="n">
        <v>135.4</v>
      </c>
      <c r="J17" s="245" t="n">
        <v>141.26</v>
      </c>
      <c r="K17" s="245" t="n">
        <v>144.26</v>
      </c>
      <c r="L17" s="246" t="n">
        <v>157.56</v>
      </c>
      <c r="M17" s="246" t="n">
        <v>167.26</v>
      </c>
      <c r="N17" s="246" t="n">
        <v>172.12</v>
      </c>
      <c r="O17" s="247" t="n">
        <f aca="false">(N17-M17)/M17*100</f>
        <v>2.90565586512018</v>
      </c>
    </row>
    <row r="18" customFormat="false" ht="12.75" hidden="false" customHeight="false" outlineLevel="0" collapsed="false">
      <c r="A18" s="249"/>
      <c r="B18" s="22" t="s">
        <v>75</v>
      </c>
      <c r="C18" s="244" t="n">
        <v>1.97</v>
      </c>
      <c r="D18" s="244" t="n">
        <v>100</v>
      </c>
      <c r="E18" s="244" t="n">
        <v>111.07</v>
      </c>
      <c r="F18" s="245" t="n">
        <v>126.13</v>
      </c>
      <c r="G18" s="245" t="n">
        <v>105.93</v>
      </c>
      <c r="H18" s="245" t="n">
        <v>118.99</v>
      </c>
      <c r="I18" s="245" t="n">
        <v>123.96</v>
      </c>
      <c r="J18" s="245" t="n">
        <v>122.51</v>
      </c>
      <c r="K18" s="245" t="n">
        <v>117.36</v>
      </c>
      <c r="L18" s="246" t="n">
        <v>145.15</v>
      </c>
      <c r="M18" s="246" t="n">
        <v>155.45</v>
      </c>
      <c r="N18" s="246" t="n">
        <v>153.24</v>
      </c>
      <c r="O18" s="247" t="n">
        <f aca="false">(N18-M18)/M18*100</f>
        <v>-1.42167899646187</v>
      </c>
    </row>
    <row r="19" s="248" customFormat="true" ht="12.75" hidden="false" customHeight="false" outlineLevel="0" collapsed="false">
      <c r="A19" s="242"/>
      <c r="B19" s="22" t="s">
        <v>169</v>
      </c>
      <c r="C19" s="244" t="n">
        <v>6.36</v>
      </c>
      <c r="D19" s="244" t="n">
        <v>100</v>
      </c>
      <c r="E19" s="244" t="n">
        <v>105.99</v>
      </c>
      <c r="F19" s="245" t="n">
        <v>112.78</v>
      </c>
      <c r="G19" s="245" t="n">
        <v>115.82</v>
      </c>
      <c r="H19" s="245" t="n">
        <v>117.83</v>
      </c>
      <c r="I19" s="245" t="n">
        <v>141.02</v>
      </c>
      <c r="J19" s="245" t="n">
        <v>146.37</v>
      </c>
      <c r="K19" s="245" t="n">
        <v>146.27</v>
      </c>
      <c r="L19" s="246" t="n">
        <v>151.37</v>
      </c>
      <c r="M19" s="246" t="n">
        <v>164.63</v>
      </c>
      <c r="N19" s="246" t="n">
        <v>164.63</v>
      </c>
      <c r="O19" s="247" t="n">
        <f aca="false">(N19-M19)/M19*100</f>
        <v>0</v>
      </c>
    </row>
    <row r="20" customFormat="false" ht="12.75" hidden="false" customHeight="false" outlineLevel="0" collapsed="false">
      <c r="A20" s="249"/>
      <c r="B20" s="22" t="s">
        <v>170</v>
      </c>
      <c r="C20" s="244" t="n">
        <v>4.37</v>
      </c>
      <c r="D20" s="244" t="n">
        <v>100</v>
      </c>
      <c r="E20" s="244" t="n">
        <v>105.25</v>
      </c>
      <c r="F20" s="245" t="n">
        <v>112.92</v>
      </c>
      <c r="G20" s="245" t="n">
        <v>117.63</v>
      </c>
      <c r="H20" s="245" t="n">
        <v>124.09</v>
      </c>
      <c r="I20" s="245" t="n">
        <v>130.15</v>
      </c>
      <c r="J20" s="245" t="n">
        <v>136.66</v>
      </c>
      <c r="K20" s="245" t="n">
        <v>143.49</v>
      </c>
      <c r="L20" s="246" t="n">
        <v>161.1</v>
      </c>
      <c r="M20" s="246" t="n">
        <v>161.51</v>
      </c>
      <c r="N20" s="246" t="n">
        <v>169.16</v>
      </c>
      <c r="O20" s="247" t="n">
        <f aca="false">(N20-M20)/M20*100</f>
        <v>4.73654882050647</v>
      </c>
    </row>
    <row r="21" customFormat="false" ht="12.75" hidden="false" customHeight="false" outlineLevel="0" collapsed="false">
      <c r="A21" s="249"/>
      <c r="B21" s="22" t="s">
        <v>171</v>
      </c>
      <c r="C21" s="244" t="n">
        <v>1.8</v>
      </c>
      <c r="D21" s="244" t="n">
        <v>100</v>
      </c>
      <c r="E21" s="244" t="n">
        <v>105.73</v>
      </c>
      <c r="F21" s="245" t="n">
        <v>112.6</v>
      </c>
      <c r="G21" s="245" t="n">
        <v>120.55</v>
      </c>
      <c r="H21" s="245" t="n">
        <v>128.36</v>
      </c>
      <c r="I21" s="245" t="n">
        <v>140.71</v>
      </c>
      <c r="J21" s="245" t="n">
        <v>154.84</v>
      </c>
      <c r="K21" s="245" t="n">
        <v>168.48</v>
      </c>
      <c r="L21" s="246" t="n">
        <v>184.57</v>
      </c>
      <c r="M21" s="246" t="n">
        <v>203.57</v>
      </c>
      <c r="N21" s="246" t="n">
        <v>226.74</v>
      </c>
      <c r="O21" s="247" t="n">
        <f aca="false">(N21-M21)/M21*100</f>
        <v>11.381834258486</v>
      </c>
    </row>
    <row r="22" customFormat="false" ht="12.75" hidden="false" customHeight="false" outlineLevel="0" collapsed="false">
      <c r="A22" s="249" t="n">
        <v>4</v>
      </c>
      <c r="B22" s="243" t="s">
        <v>172</v>
      </c>
      <c r="C22" s="244" t="n">
        <v>32.46</v>
      </c>
      <c r="D22" s="244" t="n">
        <v>100</v>
      </c>
      <c r="E22" s="244" t="n">
        <v>101.86</v>
      </c>
      <c r="F22" s="245" t="n">
        <v>103.66</v>
      </c>
      <c r="G22" s="245" t="n">
        <v>108.87</v>
      </c>
      <c r="H22" s="245" t="n">
        <v>112.11</v>
      </c>
      <c r="I22" s="245" t="n">
        <v>117.25</v>
      </c>
      <c r="J22" s="245" t="n">
        <v>118.6</v>
      </c>
      <c r="K22" s="245" t="n">
        <v>119.48</v>
      </c>
      <c r="L22" s="246" t="n">
        <v>120.36</v>
      </c>
      <c r="M22" s="246" t="n">
        <v>122.61</v>
      </c>
      <c r="N22" s="246" t="n">
        <v>126.59</v>
      </c>
      <c r="O22" s="247" t="n">
        <f aca="false">(N22-M22)/M22*100</f>
        <v>3.24606475817633</v>
      </c>
    </row>
    <row r="23" s="248" customFormat="true" ht="12.75" hidden="false" customHeight="false" outlineLevel="0" collapsed="false">
      <c r="A23" s="242"/>
      <c r="B23" s="22" t="s">
        <v>173</v>
      </c>
      <c r="C23" s="244" t="n">
        <v>20.34</v>
      </c>
      <c r="D23" s="244" t="n">
        <v>100</v>
      </c>
      <c r="E23" s="244" t="n">
        <v>101.3</v>
      </c>
      <c r="F23" s="245" t="n">
        <v>103.01</v>
      </c>
      <c r="G23" s="245" t="n">
        <v>108.44</v>
      </c>
      <c r="H23" s="245" t="n">
        <v>111.91</v>
      </c>
      <c r="I23" s="245" t="n">
        <v>115.24</v>
      </c>
      <c r="J23" s="245" t="n">
        <v>116.06</v>
      </c>
      <c r="K23" s="245" t="n">
        <v>116.92</v>
      </c>
      <c r="L23" s="246" t="n">
        <v>117.64</v>
      </c>
      <c r="M23" s="246" t="n">
        <v>118.81</v>
      </c>
      <c r="N23" s="246" t="n">
        <v>121.26</v>
      </c>
      <c r="O23" s="247" t="n">
        <f aca="false">(N23-M23)/M23*100</f>
        <v>2.06211598350307</v>
      </c>
    </row>
    <row r="24" customFormat="false" ht="12.75" hidden="false" customHeight="false" outlineLevel="0" collapsed="false">
      <c r="A24" s="249"/>
      <c r="B24" s="22" t="s">
        <v>174</v>
      </c>
      <c r="C24" s="244" t="n">
        <v>5.23</v>
      </c>
      <c r="D24" s="244" t="n">
        <v>100</v>
      </c>
      <c r="E24" s="244" t="n">
        <v>102.05</v>
      </c>
      <c r="F24" s="245" t="n">
        <v>103.62</v>
      </c>
      <c r="G24" s="245" t="n">
        <v>106.59</v>
      </c>
      <c r="H24" s="245" t="n">
        <v>108.88</v>
      </c>
      <c r="I24" s="245" t="n">
        <v>109.52</v>
      </c>
      <c r="J24" s="245" t="n">
        <v>110.48</v>
      </c>
      <c r="K24" s="245" t="n">
        <v>111.3</v>
      </c>
      <c r="L24" s="246" t="n">
        <v>111.95</v>
      </c>
      <c r="M24" s="246" t="n">
        <v>112.42</v>
      </c>
      <c r="N24" s="246" t="n">
        <v>114.67</v>
      </c>
      <c r="O24" s="247" t="n">
        <f aca="false">(N24-M24)/M24*100</f>
        <v>2.00142323429995</v>
      </c>
    </row>
    <row r="25" customFormat="false" ht="12.75" hidden="false" customHeight="false" outlineLevel="0" collapsed="false">
      <c r="A25" s="249"/>
      <c r="B25" s="22" t="s">
        <v>175</v>
      </c>
      <c r="C25" s="244" t="n">
        <v>3.82</v>
      </c>
      <c r="D25" s="244" t="n">
        <v>100</v>
      </c>
      <c r="E25" s="244" t="n">
        <v>102.61</v>
      </c>
      <c r="F25" s="245" t="n">
        <v>103.76</v>
      </c>
      <c r="G25" s="245" t="n">
        <v>110.13</v>
      </c>
      <c r="H25" s="245" t="n">
        <v>111.93</v>
      </c>
      <c r="I25" s="245" t="n">
        <v>113.73</v>
      </c>
      <c r="J25" s="245" t="n">
        <v>115.59</v>
      </c>
      <c r="K25" s="245" t="n">
        <v>117.32</v>
      </c>
      <c r="L25" s="246" t="n">
        <v>119.18</v>
      </c>
      <c r="M25" s="246" t="n">
        <v>128.15</v>
      </c>
      <c r="N25" s="246" t="n">
        <v>134.31</v>
      </c>
      <c r="O25" s="247" t="n">
        <f aca="false">(N25-M25)/M25*100</f>
        <v>4.8068669527897</v>
      </c>
    </row>
    <row r="26" customFormat="false" ht="12.75" hidden="false" customHeight="false" outlineLevel="0" collapsed="false">
      <c r="A26" s="249"/>
      <c r="B26" s="22" t="s">
        <v>176</v>
      </c>
      <c r="C26" s="244" t="n">
        <v>0.61</v>
      </c>
      <c r="D26" s="244" t="n">
        <v>100</v>
      </c>
      <c r="E26" s="244" t="n">
        <v>103.22</v>
      </c>
      <c r="F26" s="245" t="n">
        <v>106.82</v>
      </c>
      <c r="G26" s="245" t="n">
        <v>120.29</v>
      </c>
      <c r="H26" s="245" t="n">
        <v>129.93</v>
      </c>
      <c r="I26" s="245" t="n">
        <v>137.01</v>
      </c>
      <c r="J26" s="245" t="n">
        <v>141.58</v>
      </c>
      <c r="K26" s="245" t="n">
        <v>143.86</v>
      </c>
      <c r="L26" s="246" t="n">
        <v>144.42</v>
      </c>
      <c r="M26" s="246" t="n">
        <v>146.27</v>
      </c>
      <c r="N26" s="246" t="n">
        <v>169.62</v>
      </c>
      <c r="O26" s="247" t="n">
        <f aca="false">(N26-M26)/M26*100</f>
        <v>15.9636289054488</v>
      </c>
    </row>
    <row r="27" s="253" customFormat="true" ht="12.75" hidden="false" customHeight="false" outlineLevel="0" collapsed="false">
      <c r="A27" s="252"/>
      <c r="B27" s="22" t="s">
        <v>177</v>
      </c>
      <c r="C27" s="244" t="n">
        <v>0.83</v>
      </c>
      <c r="D27" s="244" t="n">
        <v>100</v>
      </c>
      <c r="E27" s="244" t="n">
        <v>104.52</v>
      </c>
      <c r="F27" s="245" t="n">
        <v>107.21</v>
      </c>
      <c r="G27" s="245" t="n">
        <v>114.72</v>
      </c>
      <c r="H27" s="245" t="n">
        <v>119.01</v>
      </c>
      <c r="I27" s="245" t="n">
        <v>166.18</v>
      </c>
      <c r="J27" s="245" t="n">
        <v>171.32</v>
      </c>
      <c r="K27" s="245" t="n">
        <v>171.23</v>
      </c>
      <c r="L27" s="246" t="n">
        <v>172.62</v>
      </c>
      <c r="M27" s="246" t="n">
        <v>182.98</v>
      </c>
      <c r="N27" s="246" t="n">
        <v>189.71</v>
      </c>
      <c r="O27" s="247" t="n">
        <f aca="false">(N27-M27)/M27*100</f>
        <v>3.67799759536562</v>
      </c>
    </row>
    <row r="28" customFormat="false" ht="12.75" hidden="false" customHeight="false" outlineLevel="0" collapsed="false">
      <c r="A28" s="249"/>
      <c r="B28" s="22" t="s">
        <v>178</v>
      </c>
      <c r="C28" s="244" t="n">
        <v>1.63</v>
      </c>
      <c r="D28" s="244" t="n">
        <v>100</v>
      </c>
      <c r="E28" s="244" t="n">
        <v>104.63</v>
      </c>
      <c r="F28" s="245" t="n">
        <v>108.7</v>
      </c>
      <c r="G28" s="245" t="n">
        <v>111.39</v>
      </c>
      <c r="H28" s="245" t="n">
        <v>115.28</v>
      </c>
      <c r="I28" s="245" t="n">
        <v>142.92</v>
      </c>
      <c r="J28" s="245" t="n">
        <v>147.88</v>
      </c>
      <c r="K28" s="245" t="n">
        <v>147.34</v>
      </c>
      <c r="L28" s="246" t="n">
        <v>148.44</v>
      </c>
      <c r="M28" s="246" t="n">
        <v>150.11</v>
      </c>
      <c r="N28" s="246" t="n">
        <v>164.93</v>
      </c>
      <c r="O28" s="247" t="n">
        <f aca="false">(N28-M28)/M28*100</f>
        <v>9.87275997601758</v>
      </c>
    </row>
    <row r="29" customFormat="false" ht="12.75" hidden="false" customHeight="false" outlineLevel="0" collapsed="false">
      <c r="A29" s="249" t="n">
        <v>5</v>
      </c>
      <c r="B29" s="243" t="s">
        <v>99</v>
      </c>
      <c r="C29" s="244" t="n">
        <v>0.42</v>
      </c>
      <c r="D29" s="244" t="n">
        <v>100</v>
      </c>
      <c r="E29" s="244" t="n">
        <v>177.53</v>
      </c>
      <c r="F29" s="245" t="n">
        <v>201.47</v>
      </c>
      <c r="G29" s="245" t="n">
        <v>227.49</v>
      </c>
      <c r="H29" s="245" t="n">
        <v>233.31</v>
      </c>
      <c r="I29" s="245" t="n">
        <v>250.05</v>
      </c>
      <c r="J29" s="245" t="n">
        <v>272.06</v>
      </c>
      <c r="K29" s="245" t="n">
        <v>310.21</v>
      </c>
      <c r="L29" s="246" t="n">
        <v>285.5</v>
      </c>
      <c r="M29" s="246" t="n">
        <v>291.92</v>
      </c>
      <c r="N29" s="246" t="n">
        <v>330.48</v>
      </c>
      <c r="O29" s="247" t="n">
        <f aca="false">(N29-M29)/M29*100</f>
        <v>13.2090983831187</v>
      </c>
    </row>
    <row r="30" s="253" customFormat="true" ht="12.75" hidden="false" customHeight="false" outlineLevel="0" collapsed="false">
      <c r="A30" s="252" t="n">
        <v>6</v>
      </c>
      <c r="B30" s="243" t="s">
        <v>171</v>
      </c>
      <c r="C30" s="244" t="n">
        <v>9.28</v>
      </c>
      <c r="D30" s="244" t="n">
        <v>100</v>
      </c>
      <c r="E30" s="244" t="n">
        <v>101.81</v>
      </c>
      <c r="F30" s="245" t="n">
        <v>106.26</v>
      </c>
      <c r="G30" s="245" t="n">
        <v>108.26</v>
      </c>
      <c r="H30" s="245" t="n">
        <v>109.99</v>
      </c>
      <c r="I30" s="245" t="n">
        <v>113.35</v>
      </c>
      <c r="J30" s="245" t="n">
        <v>114.03</v>
      </c>
      <c r="K30" s="245" t="n">
        <v>118.77</v>
      </c>
      <c r="L30" s="246" t="n">
        <v>119.84</v>
      </c>
      <c r="M30" s="246" t="n">
        <v>123.34</v>
      </c>
      <c r="N30" s="246" t="n">
        <v>126.65</v>
      </c>
      <c r="O30" s="247" t="n">
        <f aca="false">(N30-M30)/M30*100</f>
        <v>2.68363872223123</v>
      </c>
    </row>
    <row r="31" customFormat="false" ht="12.75" hidden="false" customHeight="false" outlineLevel="0" collapsed="false">
      <c r="A31" s="254"/>
      <c r="B31" s="243" t="s">
        <v>179</v>
      </c>
      <c r="C31" s="244" t="n">
        <v>100</v>
      </c>
      <c r="D31" s="244" t="n">
        <v>100</v>
      </c>
      <c r="E31" s="244" t="n">
        <v>102.7</v>
      </c>
      <c r="F31" s="245" t="n">
        <v>101.99</v>
      </c>
      <c r="G31" s="245" t="n">
        <v>108.68</v>
      </c>
      <c r="H31" s="245" t="n">
        <v>115.37</v>
      </c>
      <c r="I31" s="245" t="n">
        <v>122.03</v>
      </c>
      <c r="J31" s="245" t="n">
        <v>124.65</v>
      </c>
      <c r="K31" s="245" t="n">
        <v>123.33</v>
      </c>
      <c r="L31" s="246" t="n">
        <v>122.57</v>
      </c>
      <c r="M31" s="246" t="n">
        <v>131.89</v>
      </c>
      <c r="N31" s="246" t="n">
        <v>131.45</v>
      </c>
      <c r="O31" s="247" t="n">
        <f aca="false">(N31-M31)/M31*100</f>
        <v>-0.333611342785653</v>
      </c>
    </row>
    <row r="32" customFormat="false" ht="2.25" hidden="false" customHeight="true" outlineLevel="0" collapsed="false">
      <c r="A32" s="255"/>
      <c r="B32" s="256"/>
      <c r="C32" s="257"/>
      <c r="D32" s="257"/>
      <c r="E32" s="257"/>
      <c r="F32" s="258"/>
      <c r="G32" s="258"/>
      <c r="H32" s="258"/>
      <c r="I32" s="258"/>
      <c r="J32" s="258"/>
      <c r="K32" s="258"/>
      <c r="L32" s="259"/>
      <c r="M32" s="259"/>
      <c r="N32" s="259"/>
      <c r="O32" s="260"/>
    </row>
    <row r="33" customFormat="false" ht="13.5" hidden="false" customHeight="true" outlineLevel="0" collapsed="false">
      <c r="O33" s="5" t="s">
        <v>78</v>
      </c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  <row r="37" s="248" customFormat="true" ht="18.75" hidden="false" customHeight="true" outlineLevel="0" collapsed="false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mergeCells count="16">
    <mergeCell ref="A1:O1"/>
    <mergeCell ref="A2:O2"/>
    <mergeCell ref="A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rintOptions headings="false" gridLines="false" gridLinesSet="true" horizontalCentered="true" verticalCentered="true"/>
  <pageMargins left="0.820138888888889" right="0.7" top="0.620138888888889" bottom="1.07013888888889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7.78125" defaultRowHeight="12.75" customHeight="false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14.55"/>
    <col collapsed="false" customWidth="true" hidden="false" outlineLevel="0" max="12" min="3" style="4" width="9.88"/>
    <col collapsed="false" customWidth="false" hidden="false" outlineLevel="0" max="256" min="13" style="1" width="7.78"/>
    <col collapsed="false" customWidth="true" hidden="false" outlineLevel="0" max="257" min="257" style="1" width="3.22"/>
    <col collapsed="false" customWidth="true" hidden="false" outlineLevel="0" max="258" min="258" style="1" width="14.55"/>
    <col collapsed="false" customWidth="true" hidden="false" outlineLevel="0" max="268" min="259" style="1" width="9.88"/>
    <col collapsed="false" customWidth="false" hidden="false" outlineLevel="0" max="512" min="269" style="1" width="7.78"/>
    <col collapsed="false" customWidth="true" hidden="false" outlineLevel="0" max="513" min="513" style="1" width="3.22"/>
    <col collapsed="false" customWidth="true" hidden="false" outlineLevel="0" max="514" min="514" style="1" width="14.55"/>
    <col collapsed="false" customWidth="true" hidden="false" outlineLevel="0" max="524" min="515" style="1" width="9.88"/>
    <col collapsed="false" customWidth="false" hidden="false" outlineLevel="0" max="768" min="525" style="1" width="7.78"/>
    <col collapsed="false" customWidth="true" hidden="false" outlineLevel="0" max="769" min="769" style="1" width="3.22"/>
    <col collapsed="false" customWidth="true" hidden="false" outlineLevel="0" max="770" min="770" style="1" width="14.55"/>
    <col collapsed="false" customWidth="true" hidden="false" outlineLevel="0" max="780" min="771" style="1" width="9.88"/>
    <col collapsed="false" customWidth="false" hidden="false" outlineLevel="0" max="1024" min="781" style="1" width="7.78"/>
    <col collapsed="false" customWidth="true" hidden="false" outlineLevel="0" max="1025" min="1025" style="1" width="3.22"/>
    <col collapsed="false" customWidth="true" hidden="false" outlineLevel="0" max="1026" min="1026" style="1" width="14.55"/>
    <col collapsed="false" customWidth="true" hidden="false" outlineLevel="0" max="1036" min="1027" style="1" width="9.88"/>
    <col collapsed="false" customWidth="false" hidden="false" outlineLevel="0" max="1280" min="1037" style="1" width="7.78"/>
    <col collapsed="false" customWidth="true" hidden="false" outlineLevel="0" max="1281" min="1281" style="1" width="3.22"/>
    <col collapsed="false" customWidth="true" hidden="false" outlineLevel="0" max="1282" min="1282" style="1" width="14.55"/>
    <col collapsed="false" customWidth="true" hidden="false" outlineLevel="0" max="1292" min="1283" style="1" width="9.88"/>
    <col collapsed="false" customWidth="false" hidden="false" outlineLevel="0" max="1536" min="1293" style="1" width="7.78"/>
    <col collapsed="false" customWidth="true" hidden="false" outlineLevel="0" max="1537" min="1537" style="1" width="3.22"/>
    <col collapsed="false" customWidth="true" hidden="false" outlineLevel="0" max="1538" min="1538" style="1" width="14.55"/>
    <col collapsed="false" customWidth="true" hidden="false" outlineLevel="0" max="1548" min="1539" style="1" width="9.88"/>
    <col collapsed="false" customWidth="false" hidden="false" outlineLevel="0" max="1792" min="1549" style="1" width="7.78"/>
    <col collapsed="false" customWidth="true" hidden="false" outlineLevel="0" max="1793" min="1793" style="1" width="3.22"/>
    <col collapsed="false" customWidth="true" hidden="false" outlineLevel="0" max="1794" min="1794" style="1" width="14.55"/>
    <col collapsed="false" customWidth="true" hidden="false" outlineLevel="0" max="1804" min="1795" style="1" width="9.88"/>
    <col collapsed="false" customWidth="false" hidden="false" outlineLevel="0" max="2048" min="1805" style="1" width="7.78"/>
    <col collapsed="false" customWidth="true" hidden="false" outlineLevel="0" max="2049" min="2049" style="1" width="3.22"/>
    <col collapsed="false" customWidth="true" hidden="false" outlineLevel="0" max="2050" min="2050" style="1" width="14.55"/>
    <col collapsed="false" customWidth="true" hidden="false" outlineLevel="0" max="2060" min="2051" style="1" width="9.88"/>
    <col collapsed="false" customWidth="false" hidden="false" outlineLevel="0" max="2304" min="2061" style="1" width="7.78"/>
    <col collapsed="false" customWidth="true" hidden="false" outlineLevel="0" max="2305" min="2305" style="1" width="3.22"/>
    <col collapsed="false" customWidth="true" hidden="false" outlineLevel="0" max="2306" min="2306" style="1" width="14.55"/>
    <col collapsed="false" customWidth="true" hidden="false" outlineLevel="0" max="2316" min="2307" style="1" width="9.88"/>
    <col collapsed="false" customWidth="false" hidden="false" outlineLevel="0" max="2560" min="2317" style="1" width="7.78"/>
    <col collapsed="false" customWidth="true" hidden="false" outlineLevel="0" max="2561" min="2561" style="1" width="3.22"/>
    <col collapsed="false" customWidth="true" hidden="false" outlineLevel="0" max="2562" min="2562" style="1" width="14.55"/>
    <col collapsed="false" customWidth="true" hidden="false" outlineLevel="0" max="2572" min="2563" style="1" width="9.88"/>
    <col collapsed="false" customWidth="false" hidden="false" outlineLevel="0" max="2816" min="2573" style="1" width="7.78"/>
    <col collapsed="false" customWidth="true" hidden="false" outlineLevel="0" max="2817" min="2817" style="1" width="3.22"/>
    <col collapsed="false" customWidth="true" hidden="false" outlineLevel="0" max="2818" min="2818" style="1" width="14.55"/>
    <col collapsed="false" customWidth="true" hidden="false" outlineLevel="0" max="2828" min="2819" style="1" width="9.88"/>
    <col collapsed="false" customWidth="false" hidden="false" outlineLevel="0" max="3072" min="2829" style="1" width="7.78"/>
    <col collapsed="false" customWidth="true" hidden="false" outlineLevel="0" max="3073" min="3073" style="1" width="3.22"/>
    <col collapsed="false" customWidth="true" hidden="false" outlineLevel="0" max="3074" min="3074" style="1" width="14.55"/>
    <col collapsed="false" customWidth="true" hidden="false" outlineLevel="0" max="3084" min="3075" style="1" width="9.88"/>
    <col collapsed="false" customWidth="false" hidden="false" outlineLevel="0" max="3328" min="3085" style="1" width="7.78"/>
    <col collapsed="false" customWidth="true" hidden="false" outlineLevel="0" max="3329" min="3329" style="1" width="3.22"/>
    <col collapsed="false" customWidth="true" hidden="false" outlineLevel="0" max="3330" min="3330" style="1" width="14.55"/>
    <col collapsed="false" customWidth="true" hidden="false" outlineLevel="0" max="3340" min="3331" style="1" width="9.88"/>
    <col collapsed="false" customWidth="false" hidden="false" outlineLevel="0" max="3584" min="3341" style="1" width="7.78"/>
    <col collapsed="false" customWidth="true" hidden="false" outlineLevel="0" max="3585" min="3585" style="1" width="3.22"/>
    <col collapsed="false" customWidth="true" hidden="false" outlineLevel="0" max="3586" min="3586" style="1" width="14.55"/>
    <col collapsed="false" customWidth="true" hidden="false" outlineLevel="0" max="3596" min="3587" style="1" width="9.88"/>
    <col collapsed="false" customWidth="false" hidden="false" outlineLevel="0" max="3840" min="3597" style="1" width="7.78"/>
    <col collapsed="false" customWidth="true" hidden="false" outlineLevel="0" max="3841" min="3841" style="1" width="3.22"/>
    <col collapsed="false" customWidth="true" hidden="false" outlineLevel="0" max="3842" min="3842" style="1" width="14.55"/>
    <col collapsed="false" customWidth="true" hidden="false" outlineLevel="0" max="3852" min="3843" style="1" width="9.88"/>
    <col collapsed="false" customWidth="false" hidden="false" outlineLevel="0" max="4096" min="3853" style="1" width="7.78"/>
    <col collapsed="false" customWidth="true" hidden="false" outlineLevel="0" max="4097" min="4097" style="1" width="3.22"/>
    <col collapsed="false" customWidth="true" hidden="false" outlineLevel="0" max="4098" min="4098" style="1" width="14.55"/>
    <col collapsed="false" customWidth="true" hidden="false" outlineLevel="0" max="4108" min="4099" style="1" width="9.88"/>
    <col collapsed="false" customWidth="false" hidden="false" outlineLevel="0" max="4352" min="4109" style="1" width="7.78"/>
    <col collapsed="false" customWidth="true" hidden="false" outlineLevel="0" max="4353" min="4353" style="1" width="3.22"/>
    <col collapsed="false" customWidth="true" hidden="false" outlineLevel="0" max="4354" min="4354" style="1" width="14.55"/>
    <col collapsed="false" customWidth="true" hidden="false" outlineLevel="0" max="4364" min="4355" style="1" width="9.88"/>
    <col collapsed="false" customWidth="false" hidden="false" outlineLevel="0" max="4608" min="4365" style="1" width="7.78"/>
    <col collapsed="false" customWidth="true" hidden="false" outlineLevel="0" max="4609" min="4609" style="1" width="3.22"/>
    <col collapsed="false" customWidth="true" hidden="false" outlineLevel="0" max="4610" min="4610" style="1" width="14.55"/>
    <col collapsed="false" customWidth="true" hidden="false" outlineLevel="0" max="4620" min="4611" style="1" width="9.88"/>
    <col collapsed="false" customWidth="false" hidden="false" outlineLevel="0" max="4864" min="4621" style="1" width="7.78"/>
    <col collapsed="false" customWidth="true" hidden="false" outlineLevel="0" max="4865" min="4865" style="1" width="3.22"/>
    <col collapsed="false" customWidth="true" hidden="false" outlineLevel="0" max="4866" min="4866" style="1" width="14.55"/>
    <col collapsed="false" customWidth="true" hidden="false" outlineLevel="0" max="4876" min="4867" style="1" width="9.88"/>
    <col collapsed="false" customWidth="false" hidden="false" outlineLevel="0" max="5120" min="4877" style="1" width="7.78"/>
    <col collapsed="false" customWidth="true" hidden="false" outlineLevel="0" max="5121" min="5121" style="1" width="3.22"/>
    <col collapsed="false" customWidth="true" hidden="false" outlineLevel="0" max="5122" min="5122" style="1" width="14.55"/>
    <col collapsed="false" customWidth="true" hidden="false" outlineLevel="0" max="5132" min="5123" style="1" width="9.88"/>
    <col collapsed="false" customWidth="false" hidden="false" outlineLevel="0" max="5376" min="5133" style="1" width="7.78"/>
    <col collapsed="false" customWidth="true" hidden="false" outlineLevel="0" max="5377" min="5377" style="1" width="3.22"/>
    <col collapsed="false" customWidth="true" hidden="false" outlineLevel="0" max="5378" min="5378" style="1" width="14.55"/>
    <col collapsed="false" customWidth="true" hidden="false" outlineLevel="0" max="5388" min="5379" style="1" width="9.88"/>
    <col collapsed="false" customWidth="false" hidden="false" outlineLevel="0" max="5632" min="5389" style="1" width="7.78"/>
    <col collapsed="false" customWidth="true" hidden="false" outlineLevel="0" max="5633" min="5633" style="1" width="3.22"/>
    <col collapsed="false" customWidth="true" hidden="false" outlineLevel="0" max="5634" min="5634" style="1" width="14.55"/>
    <col collapsed="false" customWidth="true" hidden="false" outlineLevel="0" max="5644" min="5635" style="1" width="9.88"/>
    <col collapsed="false" customWidth="false" hidden="false" outlineLevel="0" max="5888" min="5645" style="1" width="7.78"/>
    <col collapsed="false" customWidth="true" hidden="false" outlineLevel="0" max="5889" min="5889" style="1" width="3.22"/>
    <col collapsed="false" customWidth="true" hidden="false" outlineLevel="0" max="5890" min="5890" style="1" width="14.55"/>
    <col collapsed="false" customWidth="true" hidden="false" outlineLevel="0" max="5900" min="5891" style="1" width="9.88"/>
    <col collapsed="false" customWidth="false" hidden="false" outlineLevel="0" max="6144" min="5901" style="1" width="7.78"/>
    <col collapsed="false" customWidth="true" hidden="false" outlineLevel="0" max="6145" min="6145" style="1" width="3.22"/>
    <col collapsed="false" customWidth="true" hidden="false" outlineLevel="0" max="6146" min="6146" style="1" width="14.55"/>
    <col collapsed="false" customWidth="true" hidden="false" outlineLevel="0" max="6156" min="6147" style="1" width="9.88"/>
    <col collapsed="false" customWidth="false" hidden="false" outlineLevel="0" max="6400" min="6157" style="1" width="7.78"/>
    <col collapsed="false" customWidth="true" hidden="false" outlineLevel="0" max="6401" min="6401" style="1" width="3.22"/>
    <col collapsed="false" customWidth="true" hidden="false" outlineLevel="0" max="6402" min="6402" style="1" width="14.55"/>
    <col collapsed="false" customWidth="true" hidden="false" outlineLevel="0" max="6412" min="6403" style="1" width="9.88"/>
    <col collapsed="false" customWidth="false" hidden="false" outlineLevel="0" max="6656" min="6413" style="1" width="7.78"/>
    <col collapsed="false" customWidth="true" hidden="false" outlineLevel="0" max="6657" min="6657" style="1" width="3.22"/>
    <col collapsed="false" customWidth="true" hidden="false" outlineLevel="0" max="6658" min="6658" style="1" width="14.55"/>
    <col collapsed="false" customWidth="true" hidden="false" outlineLevel="0" max="6668" min="6659" style="1" width="9.88"/>
    <col collapsed="false" customWidth="false" hidden="false" outlineLevel="0" max="6912" min="6669" style="1" width="7.78"/>
    <col collapsed="false" customWidth="true" hidden="false" outlineLevel="0" max="6913" min="6913" style="1" width="3.22"/>
    <col collapsed="false" customWidth="true" hidden="false" outlineLevel="0" max="6914" min="6914" style="1" width="14.55"/>
    <col collapsed="false" customWidth="true" hidden="false" outlineLevel="0" max="6924" min="6915" style="1" width="9.88"/>
    <col collapsed="false" customWidth="false" hidden="false" outlineLevel="0" max="7168" min="6925" style="1" width="7.78"/>
    <col collapsed="false" customWidth="true" hidden="false" outlineLevel="0" max="7169" min="7169" style="1" width="3.22"/>
    <col collapsed="false" customWidth="true" hidden="false" outlineLevel="0" max="7170" min="7170" style="1" width="14.55"/>
    <col collapsed="false" customWidth="true" hidden="false" outlineLevel="0" max="7180" min="7171" style="1" width="9.88"/>
    <col collapsed="false" customWidth="false" hidden="false" outlineLevel="0" max="7424" min="7181" style="1" width="7.78"/>
    <col collapsed="false" customWidth="true" hidden="false" outlineLevel="0" max="7425" min="7425" style="1" width="3.22"/>
    <col collapsed="false" customWidth="true" hidden="false" outlineLevel="0" max="7426" min="7426" style="1" width="14.55"/>
    <col collapsed="false" customWidth="true" hidden="false" outlineLevel="0" max="7436" min="7427" style="1" width="9.88"/>
    <col collapsed="false" customWidth="false" hidden="false" outlineLevel="0" max="7680" min="7437" style="1" width="7.78"/>
    <col collapsed="false" customWidth="true" hidden="false" outlineLevel="0" max="7681" min="7681" style="1" width="3.22"/>
    <col collapsed="false" customWidth="true" hidden="false" outlineLevel="0" max="7682" min="7682" style="1" width="14.55"/>
    <col collapsed="false" customWidth="true" hidden="false" outlineLevel="0" max="7692" min="7683" style="1" width="9.88"/>
    <col collapsed="false" customWidth="false" hidden="false" outlineLevel="0" max="7936" min="7693" style="1" width="7.78"/>
    <col collapsed="false" customWidth="true" hidden="false" outlineLevel="0" max="7937" min="7937" style="1" width="3.22"/>
    <col collapsed="false" customWidth="true" hidden="false" outlineLevel="0" max="7938" min="7938" style="1" width="14.55"/>
    <col collapsed="false" customWidth="true" hidden="false" outlineLevel="0" max="7948" min="7939" style="1" width="9.88"/>
    <col collapsed="false" customWidth="false" hidden="false" outlineLevel="0" max="8192" min="7949" style="1" width="7.78"/>
    <col collapsed="false" customWidth="true" hidden="false" outlineLevel="0" max="8193" min="8193" style="1" width="3.22"/>
    <col collapsed="false" customWidth="true" hidden="false" outlineLevel="0" max="8194" min="8194" style="1" width="14.55"/>
    <col collapsed="false" customWidth="true" hidden="false" outlineLevel="0" max="8204" min="8195" style="1" width="9.88"/>
    <col collapsed="false" customWidth="false" hidden="false" outlineLevel="0" max="8448" min="8205" style="1" width="7.78"/>
    <col collapsed="false" customWidth="true" hidden="false" outlineLevel="0" max="8449" min="8449" style="1" width="3.22"/>
    <col collapsed="false" customWidth="true" hidden="false" outlineLevel="0" max="8450" min="8450" style="1" width="14.55"/>
    <col collapsed="false" customWidth="true" hidden="false" outlineLevel="0" max="8460" min="8451" style="1" width="9.88"/>
    <col collapsed="false" customWidth="false" hidden="false" outlineLevel="0" max="8704" min="8461" style="1" width="7.78"/>
    <col collapsed="false" customWidth="true" hidden="false" outlineLevel="0" max="8705" min="8705" style="1" width="3.22"/>
    <col collapsed="false" customWidth="true" hidden="false" outlineLevel="0" max="8706" min="8706" style="1" width="14.55"/>
    <col collapsed="false" customWidth="true" hidden="false" outlineLevel="0" max="8716" min="8707" style="1" width="9.88"/>
    <col collapsed="false" customWidth="false" hidden="false" outlineLevel="0" max="8960" min="8717" style="1" width="7.78"/>
    <col collapsed="false" customWidth="true" hidden="false" outlineLevel="0" max="8961" min="8961" style="1" width="3.22"/>
    <col collapsed="false" customWidth="true" hidden="false" outlineLevel="0" max="8962" min="8962" style="1" width="14.55"/>
    <col collapsed="false" customWidth="true" hidden="false" outlineLevel="0" max="8972" min="8963" style="1" width="9.88"/>
    <col collapsed="false" customWidth="false" hidden="false" outlineLevel="0" max="9216" min="8973" style="1" width="7.78"/>
    <col collapsed="false" customWidth="true" hidden="false" outlineLevel="0" max="9217" min="9217" style="1" width="3.22"/>
    <col collapsed="false" customWidth="true" hidden="false" outlineLevel="0" max="9218" min="9218" style="1" width="14.55"/>
    <col collapsed="false" customWidth="true" hidden="false" outlineLevel="0" max="9228" min="9219" style="1" width="9.88"/>
    <col collapsed="false" customWidth="false" hidden="false" outlineLevel="0" max="9472" min="9229" style="1" width="7.78"/>
    <col collapsed="false" customWidth="true" hidden="false" outlineLevel="0" max="9473" min="9473" style="1" width="3.22"/>
    <col collapsed="false" customWidth="true" hidden="false" outlineLevel="0" max="9474" min="9474" style="1" width="14.55"/>
    <col collapsed="false" customWidth="true" hidden="false" outlineLevel="0" max="9484" min="9475" style="1" width="9.88"/>
    <col collapsed="false" customWidth="false" hidden="false" outlineLevel="0" max="9728" min="9485" style="1" width="7.78"/>
    <col collapsed="false" customWidth="true" hidden="false" outlineLevel="0" max="9729" min="9729" style="1" width="3.22"/>
    <col collapsed="false" customWidth="true" hidden="false" outlineLevel="0" max="9730" min="9730" style="1" width="14.55"/>
    <col collapsed="false" customWidth="true" hidden="false" outlineLevel="0" max="9740" min="9731" style="1" width="9.88"/>
    <col collapsed="false" customWidth="false" hidden="false" outlineLevel="0" max="9984" min="9741" style="1" width="7.78"/>
    <col collapsed="false" customWidth="true" hidden="false" outlineLevel="0" max="9985" min="9985" style="1" width="3.22"/>
    <col collapsed="false" customWidth="true" hidden="false" outlineLevel="0" max="9986" min="9986" style="1" width="14.55"/>
    <col collapsed="false" customWidth="true" hidden="false" outlineLevel="0" max="9996" min="9987" style="1" width="9.88"/>
    <col collapsed="false" customWidth="false" hidden="false" outlineLevel="0" max="10240" min="9997" style="1" width="7.78"/>
    <col collapsed="false" customWidth="true" hidden="false" outlineLevel="0" max="10241" min="10241" style="1" width="3.22"/>
    <col collapsed="false" customWidth="true" hidden="false" outlineLevel="0" max="10242" min="10242" style="1" width="14.55"/>
    <col collapsed="false" customWidth="true" hidden="false" outlineLevel="0" max="10252" min="10243" style="1" width="9.88"/>
    <col collapsed="false" customWidth="false" hidden="false" outlineLevel="0" max="10496" min="10253" style="1" width="7.78"/>
    <col collapsed="false" customWidth="true" hidden="false" outlineLevel="0" max="10497" min="10497" style="1" width="3.22"/>
    <col collapsed="false" customWidth="true" hidden="false" outlineLevel="0" max="10498" min="10498" style="1" width="14.55"/>
    <col collapsed="false" customWidth="true" hidden="false" outlineLevel="0" max="10508" min="10499" style="1" width="9.88"/>
    <col collapsed="false" customWidth="false" hidden="false" outlineLevel="0" max="10752" min="10509" style="1" width="7.78"/>
    <col collapsed="false" customWidth="true" hidden="false" outlineLevel="0" max="10753" min="10753" style="1" width="3.22"/>
    <col collapsed="false" customWidth="true" hidden="false" outlineLevel="0" max="10754" min="10754" style="1" width="14.55"/>
    <col collapsed="false" customWidth="true" hidden="false" outlineLevel="0" max="10764" min="10755" style="1" width="9.88"/>
    <col collapsed="false" customWidth="false" hidden="false" outlineLevel="0" max="11008" min="10765" style="1" width="7.78"/>
    <col collapsed="false" customWidth="true" hidden="false" outlineLevel="0" max="11009" min="11009" style="1" width="3.22"/>
    <col collapsed="false" customWidth="true" hidden="false" outlineLevel="0" max="11010" min="11010" style="1" width="14.55"/>
    <col collapsed="false" customWidth="true" hidden="false" outlineLevel="0" max="11020" min="11011" style="1" width="9.88"/>
    <col collapsed="false" customWidth="false" hidden="false" outlineLevel="0" max="11264" min="11021" style="1" width="7.78"/>
    <col collapsed="false" customWidth="true" hidden="false" outlineLevel="0" max="11265" min="11265" style="1" width="3.22"/>
    <col collapsed="false" customWidth="true" hidden="false" outlineLevel="0" max="11266" min="11266" style="1" width="14.55"/>
    <col collapsed="false" customWidth="true" hidden="false" outlineLevel="0" max="11276" min="11267" style="1" width="9.88"/>
    <col collapsed="false" customWidth="false" hidden="false" outlineLevel="0" max="11520" min="11277" style="1" width="7.78"/>
    <col collapsed="false" customWidth="true" hidden="false" outlineLevel="0" max="11521" min="11521" style="1" width="3.22"/>
    <col collapsed="false" customWidth="true" hidden="false" outlineLevel="0" max="11522" min="11522" style="1" width="14.55"/>
    <col collapsed="false" customWidth="true" hidden="false" outlineLevel="0" max="11532" min="11523" style="1" width="9.88"/>
    <col collapsed="false" customWidth="false" hidden="false" outlineLevel="0" max="11776" min="11533" style="1" width="7.78"/>
    <col collapsed="false" customWidth="true" hidden="false" outlineLevel="0" max="11777" min="11777" style="1" width="3.22"/>
    <col collapsed="false" customWidth="true" hidden="false" outlineLevel="0" max="11778" min="11778" style="1" width="14.55"/>
    <col collapsed="false" customWidth="true" hidden="false" outlineLevel="0" max="11788" min="11779" style="1" width="9.88"/>
    <col collapsed="false" customWidth="false" hidden="false" outlineLevel="0" max="12032" min="11789" style="1" width="7.78"/>
    <col collapsed="false" customWidth="true" hidden="false" outlineLevel="0" max="12033" min="12033" style="1" width="3.22"/>
    <col collapsed="false" customWidth="true" hidden="false" outlineLevel="0" max="12034" min="12034" style="1" width="14.55"/>
    <col collapsed="false" customWidth="true" hidden="false" outlineLevel="0" max="12044" min="12035" style="1" width="9.88"/>
    <col collapsed="false" customWidth="false" hidden="false" outlineLevel="0" max="12288" min="12045" style="1" width="7.78"/>
    <col collapsed="false" customWidth="true" hidden="false" outlineLevel="0" max="12289" min="12289" style="1" width="3.22"/>
    <col collapsed="false" customWidth="true" hidden="false" outlineLevel="0" max="12290" min="12290" style="1" width="14.55"/>
    <col collapsed="false" customWidth="true" hidden="false" outlineLevel="0" max="12300" min="12291" style="1" width="9.88"/>
    <col collapsed="false" customWidth="false" hidden="false" outlineLevel="0" max="12544" min="12301" style="1" width="7.78"/>
    <col collapsed="false" customWidth="true" hidden="false" outlineLevel="0" max="12545" min="12545" style="1" width="3.22"/>
    <col collapsed="false" customWidth="true" hidden="false" outlineLevel="0" max="12546" min="12546" style="1" width="14.55"/>
    <col collapsed="false" customWidth="true" hidden="false" outlineLevel="0" max="12556" min="12547" style="1" width="9.88"/>
    <col collapsed="false" customWidth="false" hidden="false" outlineLevel="0" max="12800" min="12557" style="1" width="7.78"/>
    <col collapsed="false" customWidth="true" hidden="false" outlineLevel="0" max="12801" min="12801" style="1" width="3.22"/>
    <col collapsed="false" customWidth="true" hidden="false" outlineLevel="0" max="12802" min="12802" style="1" width="14.55"/>
    <col collapsed="false" customWidth="true" hidden="false" outlineLevel="0" max="12812" min="12803" style="1" width="9.88"/>
    <col collapsed="false" customWidth="false" hidden="false" outlineLevel="0" max="13056" min="12813" style="1" width="7.78"/>
    <col collapsed="false" customWidth="true" hidden="false" outlineLevel="0" max="13057" min="13057" style="1" width="3.22"/>
    <col collapsed="false" customWidth="true" hidden="false" outlineLevel="0" max="13058" min="13058" style="1" width="14.55"/>
    <col collapsed="false" customWidth="true" hidden="false" outlineLevel="0" max="13068" min="13059" style="1" width="9.88"/>
    <col collapsed="false" customWidth="false" hidden="false" outlineLevel="0" max="13312" min="13069" style="1" width="7.78"/>
    <col collapsed="false" customWidth="true" hidden="false" outlineLevel="0" max="13313" min="13313" style="1" width="3.22"/>
    <col collapsed="false" customWidth="true" hidden="false" outlineLevel="0" max="13314" min="13314" style="1" width="14.55"/>
    <col collapsed="false" customWidth="true" hidden="false" outlineLevel="0" max="13324" min="13315" style="1" width="9.88"/>
    <col collapsed="false" customWidth="false" hidden="false" outlineLevel="0" max="13568" min="13325" style="1" width="7.78"/>
    <col collapsed="false" customWidth="true" hidden="false" outlineLevel="0" max="13569" min="13569" style="1" width="3.22"/>
    <col collapsed="false" customWidth="true" hidden="false" outlineLevel="0" max="13570" min="13570" style="1" width="14.55"/>
    <col collapsed="false" customWidth="true" hidden="false" outlineLevel="0" max="13580" min="13571" style="1" width="9.88"/>
    <col collapsed="false" customWidth="false" hidden="false" outlineLevel="0" max="13824" min="13581" style="1" width="7.78"/>
    <col collapsed="false" customWidth="true" hidden="false" outlineLevel="0" max="13825" min="13825" style="1" width="3.22"/>
    <col collapsed="false" customWidth="true" hidden="false" outlineLevel="0" max="13826" min="13826" style="1" width="14.55"/>
    <col collapsed="false" customWidth="true" hidden="false" outlineLevel="0" max="13836" min="13827" style="1" width="9.88"/>
    <col collapsed="false" customWidth="false" hidden="false" outlineLevel="0" max="14080" min="13837" style="1" width="7.78"/>
    <col collapsed="false" customWidth="true" hidden="false" outlineLevel="0" max="14081" min="14081" style="1" width="3.22"/>
    <col collapsed="false" customWidth="true" hidden="false" outlineLevel="0" max="14082" min="14082" style="1" width="14.55"/>
    <col collapsed="false" customWidth="true" hidden="false" outlineLevel="0" max="14092" min="14083" style="1" width="9.88"/>
    <col collapsed="false" customWidth="false" hidden="false" outlineLevel="0" max="14336" min="14093" style="1" width="7.78"/>
    <col collapsed="false" customWidth="true" hidden="false" outlineLevel="0" max="14337" min="14337" style="1" width="3.22"/>
    <col collapsed="false" customWidth="true" hidden="false" outlineLevel="0" max="14338" min="14338" style="1" width="14.55"/>
    <col collapsed="false" customWidth="true" hidden="false" outlineLevel="0" max="14348" min="14339" style="1" width="9.88"/>
    <col collapsed="false" customWidth="false" hidden="false" outlineLevel="0" max="14592" min="14349" style="1" width="7.78"/>
    <col collapsed="false" customWidth="true" hidden="false" outlineLevel="0" max="14593" min="14593" style="1" width="3.22"/>
    <col collapsed="false" customWidth="true" hidden="false" outlineLevel="0" max="14594" min="14594" style="1" width="14.55"/>
    <col collapsed="false" customWidth="true" hidden="false" outlineLevel="0" max="14604" min="14595" style="1" width="9.88"/>
    <col collapsed="false" customWidth="false" hidden="false" outlineLevel="0" max="14848" min="14605" style="1" width="7.78"/>
    <col collapsed="false" customWidth="true" hidden="false" outlineLevel="0" max="14849" min="14849" style="1" width="3.22"/>
    <col collapsed="false" customWidth="true" hidden="false" outlineLevel="0" max="14850" min="14850" style="1" width="14.55"/>
    <col collapsed="false" customWidth="true" hidden="false" outlineLevel="0" max="14860" min="14851" style="1" width="9.88"/>
    <col collapsed="false" customWidth="false" hidden="false" outlineLevel="0" max="15104" min="14861" style="1" width="7.78"/>
    <col collapsed="false" customWidth="true" hidden="false" outlineLevel="0" max="15105" min="15105" style="1" width="3.22"/>
    <col collapsed="false" customWidth="true" hidden="false" outlineLevel="0" max="15106" min="15106" style="1" width="14.55"/>
    <col collapsed="false" customWidth="true" hidden="false" outlineLevel="0" max="15116" min="15107" style="1" width="9.88"/>
    <col collapsed="false" customWidth="false" hidden="false" outlineLevel="0" max="15360" min="15117" style="1" width="7.78"/>
    <col collapsed="false" customWidth="true" hidden="false" outlineLevel="0" max="15361" min="15361" style="1" width="3.22"/>
    <col collapsed="false" customWidth="true" hidden="false" outlineLevel="0" max="15362" min="15362" style="1" width="14.55"/>
    <col collapsed="false" customWidth="true" hidden="false" outlineLevel="0" max="15372" min="15363" style="1" width="9.88"/>
    <col collapsed="false" customWidth="false" hidden="false" outlineLevel="0" max="15616" min="15373" style="1" width="7.78"/>
    <col collapsed="false" customWidth="true" hidden="false" outlineLevel="0" max="15617" min="15617" style="1" width="3.22"/>
    <col collapsed="false" customWidth="true" hidden="false" outlineLevel="0" max="15618" min="15618" style="1" width="14.55"/>
    <col collapsed="false" customWidth="true" hidden="false" outlineLevel="0" max="15628" min="15619" style="1" width="9.88"/>
    <col collapsed="false" customWidth="false" hidden="false" outlineLevel="0" max="15872" min="15629" style="1" width="7.78"/>
    <col collapsed="false" customWidth="true" hidden="false" outlineLevel="0" max="15873" min="15873" style="1" width="3.22"/>
    <col collapsed="false" customWidth="true" hidden="false" outlineLevel="0" max="15874" min="15874" style="1" width="14.55"/>
    <col collapsed="false" customWidth="true" hidden="false" outlineLevel="0" max="15884" min="15875" style="1" width="9.88"/>
    <col collapsed="false" customWidth="false" hidden="false" outlineLevel="0" max="16128" min="15885" style="1" width="7.78"/>
    <col collapsed="false" customWidth="true" hidden="false" outlineLevel="0" max="16129" min="16129" style="1" width="3.22"/>
    <col collapsed="false" customWidth="true" hidden="false" outlineLevel="0" max="16130" min="16130" style="1" width="14.55"/>
    <col collapsed="false" customWidth="true" hidden="false" outlineLevel="0" max="16140" min="16131" style="1" width="9.88"/>
    <col collapsed="false" customWidth="false" hidden="false" outlineLevel="0" max="16384" min="16141" style="1" width="7.78"/>
  </cols>
  <sheetData>
    <row r="1" customFormat="false" ht="17.35" hidden="false" customHeight="false" outlineLevel="0" collapsed="false">
      <c r="C1" s="2" t="s">
        <v>164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2" customFormat="true" ht="17.35" hidden="false" customHeight="false" outlineLevel="0" collapsed="false">
      <c r="A2" s="261" t="s">
        <v>180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</row>
    <row r="3" customFormat="false" ht="12.75" hidden="false" customHeight="true" outlineLevel="0" collapsed="false">
      <c r="A3" s="238" t="s">
        <v>166</v>
      </c>
      <c r="B3" s="238"/>
      <c r="C3" s="239" t="s">
        <v>167</v>
      </c>
      <c r="D3" s="240" t="s">
        <v>37</v>
      </c>
      <c r="E3" s="240" t="s">
        <v>38</v>
      </c>
      <c r="F3" s="240" t="s">
        <v>39</v>
      </c>
      <c r="G3" s="240" t="s">
        <v>40</v>
      </c>
      <c r="H3" s="240" t="s">
        <v>41</v>
      </c>
      <c r="I3" s="240" t="s">
        <v>42</v>
      </c>
      <c r="J3" s="240" t="s">
        <v>43</v>
      </c>
      <c r="K3" s="240" t="s">
        <v>44</v>
      </c>
      <c r="L3" s="241" t="s">
        <v>168</v>
      </c>
    </row>
    <row r="4" customFormat="false" ht="12.75" hidden="false" customHeight="false" outlineLevel="0" collapsed="false">
      <c r="A4" s="238"/>
      <c r="B4" s="238"/>
      <c r="C4" s="239"/>
      <c r="D4" s="240"/>
      <c r="E4" s="240"/>
      <c r="F4" s="240"/>
      <c r="G4" s="240"/>
      <c r="H4" s="240"/>
      <c r="I4" s="240"/>
      <c r="J4" s="240"/>
      <c r="K4" s="240"/>
      <c r="L4" s="241"/>
    </row>
    <row r="5" s="248" customFormat="true" ht="12.75" hidden="false" customHeight="false" outlineLevel="0" collapsed="false">
      <c r="A5" s="262" t="n">
        <v>1</v>
      </c>
      <c r="B5" s="243" t="s">
        <v>4</v>
      </c>
      <c r="C5" s="263" t="n">
        <v>33.68</v>
      </c>
      <c r="D5" s="263" t="n">
        <v>100</v>
      </c>
      <c r="E5" s="263" t="n">
        <v>116.08</v>
      </c>
      <c r="F5" s="263" t="n">
        <v>116.93</v>
      </c>
      <c r="G5" s="263" t="n">
        <v>117.69</v>
      </c>
      <c r="H5" s="263" t="n">
        <v>120.04</v>
      </c>
      <c r="I5" s="263" t="n">
        <v>129.58</v>
      </c>
      <c r="J5" s="263" t="n">
        <v>133.23</v>
      </c>
      <c r="K5" s="263" t="n">
        <v>134.13</v>
      </c>
      <c r="L5" s="264" t="n">
        <v>0.67</v>
      </c>
    </row>
    <row r="6" customFormat="false" ht="12.75" hidden="false" customHeight="false" outlineLevel="0" collapsed="false">
      <c r="A6" s="249"/>
      <c r="B6" s="250" t="s">
        <v>25</v>
      </c>
      <c r="C6" s="265" t="n">
        <v>19.75</v>
      </c>
      <c r="D6" s="265" t="n">
        <v>100</v>
      </c>
      <c r="E6" s="265" t="n">
        <v>122.23</v>
      </c>
      <c r="F6" s="265" t="n">
        <v>126.33</v>
      </c>
      <c r="G6" s="265" t="n">
        <v>124.35</v>
      </c>
      <c r="H6" s="265" t="n">
        <v>126.7</v>
      </c>
      <c r="I6" s="265" t="n">
        <v>137.64</v>
      </c>
      <c r="J6" s="265" t="n">
        <v>144</v>
      </c>
      <c r="K6" s="265" t="n">
        <v>142.24</v>
      </c>
      <c r="L6" s="266" t="n">
        <v>-1.23</v>
      </c>
    </row>
    <row r="7" customFormat="false" ht="12.75" hidden="false" customHeight="false" outlineLevel="0" collapsed="false">
      <c r="A7" s="249"/>
      <c r="B7" s="250" t="s">
        <v>28</v>
      </c>
      <c r="C7" s="265" t="n">
        <v>6.87</v>
      </c>
      <c r="D7" s="265" t="n">
        <v>100</v>
      </c>
      <c r="E7" s="265" t="n">
        <v>104.54</v>
      </c>
      <c r="F7" s="265" t="n">
        <v>103.06</v>
      </c>
      <c r="G7" s="265" t="n">
        <v>107.39</v>
      </c>
      <c r="H7" s="265" t="n">
        <v>105.71</v>
      </c>
      <c r="I7" s="265" t="n">
        <v>113.53</v>
      </c>
      <c r="J7" s="265" t="n">
        <v>116.56</v>
      </c>
      <c r="K7" s="265" t="n">
        <v>118.66</v>
      </c>
      <c r="L7" s="266" t="n">
        <v>1.8</v>
      </c>
    </row>
    <row r="8" customFormat="false" ht="12.75" hidden="false" customHeight="false" outlineLevel="0" collapsed="false">
      <c r="A8" s="249"/>
      <c r="B8" s="250" t="s">
        <v>29</v>
      </c>
      <c r="C8" s="265" t="n">
        <v>4.59</v>
      </c>
      <c r="D8" s="265" t="n">
        <v>100</v>
      </c>
      <c r="E8" s="265" t="n">
        <v>110.86</v>
      </c>
      <c r="F8" s="265" t="n">
        <v>115.57</v>
      </c>
      <c r="G8" s="265" t="n">
        <v>109.53</v>
      </c>
      <c r="H8" s="265" t="n">
        <v>118.91</v>
      </c>
      <c r="I8" s="265" t="n">
        <v>129.53</v>
      </c>
      <c r="J8" s="265" t="n">
        <v>126.72</v>
      </c>
      <c r="K8" s="265" t="n">
        <v>137.69</v>
      </c>
      <c r="L8" s="266" t="n">
        <v>8.65</v>
      </c>
    </row>
    <row r="9" customFormat="false" ht="12.75" hidden="false" customHeight="false" outlineLevel="0" collapsed="false">
      <c r="A9" s="249"/>
      <c r="B9" s="250" t="s">
        <v>31</v>
      </c>
      <c r="C9" s="265" t="n">
        <v>2.23</v>
      </c>
      <c r="D9" s="265" t="n">
        <v>100</v>
      </c>
      <c r="E9" s="265" t="n">
        <v>105.58</v>
      </c>
      <c r="F9" s="265" t="n">
        <v>108</v>
      </c>
      <c r="G9" s="265" t="n">
        <v>106.58</v>
      </c>
      <c r="H9" s="265" t="n">
        <v>108.92</v>
      </c>
      <c r="I9" s="265" t="n">
        <v>110.41</v>
      </c>
      <c r="J9" s="265" t="n">
        <v>105.73</v>
      </c>
      <c r="K9" s="265" t="n">
        <v>105.63</v>
      </c>
      <c r="L9" s="266" t="n">
        <v>-0.1</v>
      </c>
    </row>
    <row r="10" customFormat="false" ht="12.75" hidden="false" customHeight="false" outlineLevel="0" collapsed="false">
      <c r="A10" s="249"/>
      <c r="B10" s="251" t="s">
        <v>30</v>
      </c>
      <c r="C10" s="265" t="n">
        <v>0.23</v>
      </c>
      <c r="D10" s="265" t="n">
        <v>100</v>
      </c>
      <c r="E10" s="265" t="n">
        <v>140.04</v>
      </c>
      <c r="F10" s="265" t="n">
        <v>130.96</v>
      </c>
      <c r="G10" s="265" t="n">
        <v>125.17</v>
      </c>
      <c r="H10" s="265" t="n">
        <v>107.72</v>
      </c>
      <c r="I10" s="265" t="n">
        <v>104.39</v>
      </c>
      <c r="J10" s="265" t="n">
        <v>103.28</v>
      </c>
      <c r="K10" s="265" t="n">
        <v>105.75</v>
      </c>
      <c r="L10" s="266" t="n">
        <v>2.39</v>
      </c>
    </row>
    <row r="11" customFormat="false" ht="12.75" hidden="false" customHeight="false" outlineLevel="0" collapsed="false">
      <c r="A11" s="262" t="n">
        <v>2</v>
      </c>
      <c r="B11" s="243" t="s">
        <v>65</v>
      </c>
      <c r="C11" s="263" t="n">
        <v>6.87</v>
      </c>
      <c r="D11" s="263" t="n">
        <v>100</v>
      </c>
      <c r="E11" s="263" t="n">
        <v>107.71</v>
      </c>
      <c r="F11" s="263" t="n">
        <v>112.79</v>
      </c>
      <c r="G11" s="263" t="n">
        <v>110.25</v>
      </c>
      <c r="H11" s="263" t="n">
        <v>125.54</v>
      </c>
      <c r="I11" s="263" t="n">
        <v>133.71</v>
      </c>
      <c r="J11" s="263" t="n">
        <v>145.84</v>
      </c>
      <c r="K11" s="263" t="n">
        <v>150.96</v>
      </c>
      <c r="L11" s="264" t="n">
        <v>3.52</v>
      </c>
    </row>
    <row r="12" customFormat="false" ht="12.75" hidden="false" customHeight="false" outlineLevel="0" collapsed="false">
      <c r="A12" s="249"/>
      <c r="B12" s="22" t="s">
        <v>155</v>
      </c>
      <c r="C12" s="265" t="n">
        <v>1.37</v>
      </c>
      <c r="D12" s="265" t="n">
        <v>100</v>
      </c>
      <c r="E12" s="265" t="n">
        <v>104.54</v>
      </c>
      <c r="F12" s="265" t="n">
        <v>108.06</v>
      </c>
      <c r="G12" s="265" t="n">
        <v>114.46</v>
      </c>
      <c r="H12" s="265" t="n">
        <v>131.39</v>
      </c>
      <c r="I12" s="265" t="n">
        <v>140.18</v>
      </c>
      <c r="J12" s="265" t="n">
        <v>147.4</v>
      </c>
      <c r="K12" s="265" t="n">
        <v>149.81</v>
      </c>
      <c r="L12" s="266" t="n">
        <v>1.64</v>
      </c>
    </row>
    <row r="13" customFormat="false" ht="12.75" hidden="false" customHeight="false" outlineLevel="0" collapsed="false">
      <c r="A13" s="249"/>
      <c r="B13" s="22" t="s">
        <v>132</v>
      </c>
      <c r="C13" s="265" t="n">
        <v>1.5</v>
      </c>
      <c r="D13" s="265" t="n">
        <v>100</v>
      </c>
      <c r="E13" s="265" t="n">
        <v>113.63</v>
      </c>
      <c r="F13" s="265" t="n">
        <v>116.71</v>
      </c>
      <c r="G13" s="265" t="n">
        <v>107.03</v>
      </c>
      <c r="H13" s="265" t="n">
        <v>117.29</v>
      </c>
      <c r="I13" s="265" t="n">
        <v>120.25</v>
      </c>
      <c r="J13" s="265" t="n">
        <v>129.63</v>
      </c>
      <c r="K13" s="265" t="n">
        <v>132.2</v>
      </c>
      <c r="L13" s="266" t="n">
        <v>1.98</v>
      </c>
    </row>
    <row r="14" customFormat="false" ht="12.75" hidden="false" customHeight="false" outlineLevel="0" collapsed="false">
      <c r="A14" s="249"/>
      <c r="B14" s="22" t="s">
        <v>68</v>
      </c>
      <c r="C14" s="265" t="n">
        <v>0.19</v>
      </c>
      <c r="D14" s="265" t="n">
        <v>100</v>
      </c>
      <c r="E14" s="265" t="n">
        <v>82.86</v>
      </c>
      <c r="F14" s="265" t="n">
        <v>76.99</v>
      </c>
      <c r="G14" s="265" t="n">
        <v>68.57</v>
      </c>
      <c r="H14" s="265" t="n">
        <v>58.81</v>
      </c>
      <c r="I14" s="265" t="n">
        <v>57.28</v>
      </c>
      <c r="J14" s="265" t="n">
        <v>57.74</v>
      </c>
      <c r="K14" s="265" t="n">
        <v>56.59</v>
      </c>
      <c r="L14" s="266" t="n">
        <v>-5.29</v>
      </c>
    </row>
    <row r="15" customFormat="false" ht="12.75" hidden="false" customHeight="false" outlineLevel="0" collapsed="false">
      <c r="A15" s="249"/>
      <c r="B15" s="22" t="s">
        <v>70</v>
      </c>
      <c r="C15" s="265" t="n">
        <v>0.13</v>
      </c>
      <c r="D15" s="265" t="n">
        <v>100</v>
      </c>
      <c r="E15" s="265" t="n">
        <v>131.72</v>
      </c>
      <c r="F15" s="265" t="n">
        <v>123.35</v>
      </c>
      <c r="G15" s="265" t="n">
        <v>135.24</v>
      </c>
      <c r="H15" s="265" t="n">
        <v>133.88</v>
      </c>
      <c r="I15" s="265" t="n">
        <v>133.7</v>
      </c>
      <c r="J15" s="265" t="n">
        <v>144.42</v>
      </c>
      <c r="K15" s="265" t="n">
        <v>140.97</v>
      </c>
      <c r="L15" s="266" t="n">
        <v>-2.39</v>
      </c>
    </row>
    <row r="16" customFormat="false" ht="12.75" hidden="false" customHeight="false" outlineLevel="0" collapsed="false">
      <c r="A16" s="249"/>
      <c r="B16" s="22" t="s">
        <v>69</v>
      </c>
      <c r="C16" s="265" t="n">
        <v>3.68</v>
      </c>
      <c r="D16" s="265" t="n">
        <v>100</v>
      </c>
      <c r="E16" s="265" t="n">
        <v>106.93</v>
      </c>
      <c r="F16" s="265" t="n">
        <v>114.45</v>
      </c>
      <c r="G16" s="265" t="n">
        <v>111.28</v>
      </c>
      <c r="H16" s="265" t="n">
        <v>129.89</v>
      </c>
      <c r="I16" s="265" t="n">
        <v>140.76</v>
      </c>
      <c r="J16" s="265" t="n">
        <v>156.37</v>
      </c>
      <c r="K16" s="265" t="n">
        <v>164.29</v>
      </c>
      <c r="L16" s="266" t="n">
        <v>5.06</v>
      </c>
    </row>
    <row r="17" customFormat="false" ht="12.75" hidden="false" customHeight="false" outlineLevel="0" collapsed="false">
      <c r="A17" s="262" t="n">
        <v>3</v>
      </c>
      <c r="B17" s="243" t="s">
        <v>74</v>
      </c>
      <c r="C17" s="263" t="n">
        <v>21.57</v>
      </c>
      <c r="D17" s="263" t="n">
        <v>100</v>
      </c>
      <c r="E17" s="263" t="n">
        <v>86.12</v>
      </c>
      <c r="F17" s="263" t="n">
        <v>92.36</v>
      </c>
      <c r="G17" s="263" t="n">
        <v>93.59</v>
      </c>
      <c r="H17" s="263" t="n">
        <v>95.46</v>
      </c>
      <c r="I17" s="263" t="n">
        <v>98.556</v>
      </c>
      <c r="J17" s="263" t="n">
        <v>106.45</v>
      </c>
      <c r="K17" s="263" t="n">
        <v>107.83</v>
      </c>
      <c r="L17" s="264" t="n">
        <v>1.3</v>
      </c>
    </row>
    <row r="18" customFormat="false" ht="12.75" hidden="false" customHeight="false" outlineLevel="0" collapsed="false">
      <c r="A18" s="249"/>
      <c r="B18" s="22" t="s">
        <v>75</v>
      </c>
      <c r="C18" s="265" t="n">
        <v>2.72</v>
      </c>
      <c r="D18" s="265" t="n">
        <v>100</v>
      </c>
      <c r="E18" s="265" t="n">
        <v>106.48</v>
      </c>
      <c r="F18" s="265" t="n">
        <v>111</v>
      </c>
      <c r="G18" s="265" t="n">
        <v>106.88</v>
      </c>
      <c r="H18" s="265" t="n">
        <v>113.41</v>
      </c>
      <c r="I18" s="265" t="n">
        <v>117.62</v>
      </c>
      <c r="J18" s="265" t="n">
        <v>120.55</v>
      </c>
      <c r="K18" s="265" t="n">
        <v>124.1</v>
      </c>
      <c r="L18" s="266" t="n">
        <v>2.94</v>
      </c>
    </row>
    <row r="19" s="248" customFormat="true" ht="12.75" hidden="false" customHeight="false" outlineLevel="0" collapsed="false">
      <c r="A19" s="242"/>
      <c r="B19" s="22" t="s">
        <v>169</v>
      </c>
      <c r="C19" s="265" t="n">
        <v>10.07</v>
      </c>
      <c r="D19" s="265" t="n">
        <v>100</v>
      </c>
      <c r="E19" s="265" t="n">
        <v>65.04</v>
      </c>
      <c r="F19" s="265" t="n">
        <v>75.79</v>
      </c>
      <c r="G19" s="265" t="n">
        <v>75.33</v>
      </c>
      <c r="H19" s="265" t="n">
        <v>80.71</v>
      </c>
      <c r="I19" s="265" t="n">
        <v>79.17</v>
      </c>
      <c r="J19" s="265" t="n">
        <v>86.25</v>
      </c>
      <c r="K19" s="265" t="n">
        <v>83.67</v>
      </c>
      <c r="L19" s="266" t="n">
        <v>-2.99</v>
      </c>
    </row>
    <row r="20" customFormat="false" ht="12.75" hidden="false" customHeight="false" outlineLevel="0" collapsed="false">
      <c r="A20" s="249"/>
      <c r="B20" s="22" t="s">
        <v>170</v>
      </c>
      <c r="C20" s="265" t="n">
        <v>5.73</v>
      </c>
      <c r="D20" s="265" t="n">
        <v>100</v>
      </c>
      <c r="E20" s="265" t="n">
        <v>105.58</v>
      </c>
      <c r="F20" s="265" t="n">
        <v>107.41</v>
      </c>
      <c r="G20" s="265" t="n">
        <v>112.36</v>
      </c>
      <c r="H20" s="265" t="n">
        <v>106.82</v>
      </c>
      <c r="I20" s="265" t="n">
        <v>118.52</v>
      </c>
      <c r="J20" s="265" t="n">
        <v>131.52</v>
      </c>
      <c r="K20" s="265" t="n">
        <v>138.16</v>
      </c>
      <c r="L20" s="266" t="n">
        <v>5.05</v>
      </c>
    </row>
    <row r="21" customFormat="false" ht="12.75" hidden="false" customHeight="false" outlineLevel="0" collapsed="false">
      <c r="A21" s="249"/>
      <c r="B21" s="22" t="s">
        <v>171</v>
      </c>
      <c r="C21" s="265" t="n">
        <v>3.05</v>
      </c>
      <c r="D21" s="265" t="n">
        <v>100</v>
      </c>
      <c r="E21" s="265" t="n">
        <v>101</v>
      </c>
      <c r="F21" s="265" t="n">
        <v>102.2</v>
      </c>
      <c r="G21" s="265" t="n">
        <v>106.82</v>
      </c>
      <c r="H21" s="265" t="n">
        <v>106.82</v>
      </c>
      <c r="I21" s="265" t="n">
        <v>108.05</v>
      </c>
      <c r="J21" s="265" t="n">
        <v>113.46</v>
      </c>
      <c r="K21" s="265" t="n">
        <v>116.1</v>
      </c>
      <c r="L21" s="266" t="n">
        <v>2.33</v>
      </c>
    </row>
    <row r="22" customFormat="false" ht="12.75" hidden="false" customHeight="false" outlineLevel="0" collapsed="false">
      <c r="A22" s="262" t="n">
        <v>4</v>
      </c>
      <c r="B22" s="243" t="s">
        <v>172</v>
      </c>
      <c r="C22" s="263" t="n">
        <v>27.66</v>
      </c>
      <c r="D22" s="263" t="n">
        <v>100</v>
      </c>
      <c r="E22" s="263" t="n">
        <v>103.13</v>
      </c>
      <c r="F22" s="263" t="n">
        <v>109.55</v>
      </c>
      <c r="G22" s="263" t="n">
        <v>113.56</v>
      </c>
      <c r="H22" s="263" t="n">
        <v>116.44</v>
      </c>
      <c r="I22" s="263" t="n">
        <v>119.2</v>
      </c>
      <c r="J22" s="263" t="n">
        <v>122.45</v>
      </c>
      <c r="K22" s="263" t="n">
        <v>126.1</v>
      </c>
      <c r="L22" s="264" t="n">
        <v>2.98</v>
      </c>
    </row>
    <row r="23" s="248" customFormat="true" ht="12.75" hidden="false" customHeight="false" outlineLevel="0" collapsed="false">
      <c r="A23" s="242"/>
      <c r="B23" s="22" t="s">
        <v>173</v>
      </c>
      <c r="C23" s="265" t="n">
        <v>15.84</v>
      </c>
      <c r="D23" s="265" t="n">
        <v>100</v>
      </c>
      <c r="E23" s="265" t="n">
        <v>106.41</v>
      </c>
      <c r="F23" s="265" t="n">
        <v>112.01</v>
      </c>
      <c r="G23" s="265" t="n">
        <v>115.98</v>
      </c>
      <c r="H23" s="265" t="n">
        <v>118.74</v>
      </c>
      <c r="I23" s="265" t="n">
        <v>121.4</v>
      </c>
      <c r="J23" s="265" t="n">
        <v>124.4</v>
      </c>
      <c r="K23" s="265" t="n">
        <v>128.24</v>
      </c>
      <c r="L23" s="266" t="n">
        <v>3.08</v>
      </c>
    </row>
    <row r="24" customFormat="false" ht="12.75" hidden="false" customHeight="false" outlineLevel="0" collapsed="false">
      <c r="A24" s="249"/>
      <c r="B24" s="22" t="s">
        <v>174</v>
      </c>
      <c r="C24" s="265" t="n">
        <v>4.51</v>
      </c>
      <c r="D24" s="265" t="n">
        <v>100</v>
      </c>
      <c r="E24" s="265" t="n">
        <v>105.97</v>
      </c>
      <c r="F24" s="265" t="n">
        <v>114.72</v>
      </c>
      <c r="G24" s="265" t="n">
        <v>118.63</v>
      </c>
      <c r="H24" s="265" t="n">
        <v>120.87</v>
      </c>
      <c r="I24" s="265" t="n">
        <v>123.1</v>
      </c>
      <c r="J24" s="265" t="n">
        <v>126.21</v>
      </c>
      <c r="K24" s="265" t="n">
        <v>128.89</v>
      </c>
      <c r="L24" s="266" t="n">
        <v>2.12</v>
      </c>
    </row>
    <row r="25" customFormat="false" ht="12.75" hidden="false" customHeight="false" outlineLevel="0" collapsed="false">
      <c r="A25" s="249"/>
      <c r="B25" s="22" t="s">
        <v>175</v>
      </c>
      <c r="C25" s="265" t="n">
        <v>3.99</v>
      </c>
      <c r="D25" s="265" t="n">
        <v>100</v>
      </c>
      <c r="E25" s="265" t="n">
        <v>92.7</v>
      </c>
      <c r="F25" s="265" t="n">
        <v>99.47</v>
      </c>
      <c r="G25" s="265" t="n">
        <v>102.37</v>
      </c>
      <c r="H25" s="265" t="n">
        <v>103.87</v>
      </c>
      <c r="I25" s="265" t="n">
        <v>105.68</v>
      </c>
      <c r="J25" s="265" t="n">
        <v>107.9</v>
      </c>
      <c r="K25" s="265" t="n">
        <v>109.98</v>
      </c>
      <c r="L25" s="266" t="n">
        <v>1.92</v>
      </c>
    </row>
    <row r="26" customFormat="false" ht="12.75" hidden="false" customHeight="false" outlineLevel="0" collapsed="false">
      <c r="A26" s="249"/>
      <c r="B26" s="22" t="s">
        <v>176</v>
      </c>
      <c r="C26" s="265" t="n">
        <v>0.75</v>
      </c>
      <c r="D26" s="265" t="n">
        <v>100</v>
      </c>
      <c r="E26" s="265" t="n">
        <v>96.17</v>
      </c>
      <c r="F26" s="265" t="n">
        <v>100.85</v>
      </c>
      <c r="G26" s="265" t="n">
        <v>106.68</v>
      </c>
      <c r="H26" s="265" t="n">
        <v>113.48</v>
      </c>
      <c r="I26" s="265" t="n">
        <v>119.36</v>
      </c>
      <c r="J26" s="265" t="n">
        <v>124.2</v>
      </c>
      <c r="K26" s="265" t="n">
        <v>127.09</v>
      </c>
      <c r="L26" s="266" t="n">
        <v>2.33</v>
      </c>
    </row>
    <row r="27" s="253" customFormat="true" ht="12.75" hidden="false" customHeight="false" outlineLevel="0" collapsed="false">
      <c r="A27" s="252"/>
      <c r="B27" s="22" t="s">
        <v>177</v>
      </c>
      <c r="C27" s="265" t="n">
        <v>1.01</v>
      </c>
      <c r="D27" s="265" t="n">
        <v>100</v>
      </c>
      <c r="E27" s="265" t="n">
        <v>96.06</v>
      </c>
      <c r="F27" s="265" t="n">
        <v>105.4</v>
      </c>
      <c r="G27" s="265" t="n">
        <v>112.42</v>
      </c>
      <c r="H27" s="265" t="n">
        <v>119.62</v>
      </c>
      <c r="I27" s="265" t="n">
        <v>124.57</v>
      </c>
      <c r="J27" s="265" t="n">
        <v>130.25</v>
      </c>
      <c r="K27" s="265" t="n">
        <v>136.04</v>
      </c>
      <c r="L27" s="266" t="n">
        <v>4.44</v>
      </c>
    </row>
    <row r="28" customFormat="false" ht="12.75" hidden="false" customHeight="false" outlineLevel="0" collapsed="false">
      <c r="A28" s="249"/>
      <c r="B28" s="22" t="s">
        <v>178</v>
      </c>
      <c r="C28" s="265" t="n">
        <v>1.55</v>
      </c>
      <c r="D28" s="265" t="n">
        <v>100</v>
      </c>
      <c r="E28" s="265" t="n">
        <v>96.19</v>
      </c>
      <c r="F28" s="265" t="n">
        <v>102.27</v>
      </c>
      <c r="G28" s="265" t="n">
        <v>106.99</v>
      </c>
      <c r="H28" s="265" t="n">
        <v>111.77</v>
      </c>
      <c r="I28" s="265" t="n">
        <v>116.67</v>
      </c>
      <c r="J28" s="265" t="n">
        <v>123.1</v>
      </c>
      <c r="K28" s="265" t="n">
        <v>130.65</v>
      </c>
      <c r="L28" s="266" t="n">
        <v>6.13</v>
      </c>
    </row>
    <row r="29" customFormat="false" ht="12.75" hidden="false" customHeight="false" outlineLevel="0" collapsed="false">
      <c r="A29" s="262" t="n">
        <v>5</v>
      </c>
      <c r="B29" s="243" t="s">
        <v>99</v>
      </c>
      <c r="C29" s="263" t="n">
        <v>0.99</v>
      </c>
      <c r="D29" s="263" t="n">
        <v>100</v>
      </c>
      <c r="E29" s="263" t="n">
        <v>124.47</v>
      </c>
      <c r="F29" s="263" t="n">
        <v>131.98</v>
      </c>
      <c r="G29" s="263" t="n">
        <v>141.46</v>
      </c>
      <c r="H29" s="263" t="n">
        <v>146.49</v>
      </c>
      <c r="I29" s="263" t="n">
        <v>180.47</v>
      </c>
      <c r="J29" s="263" t="n">
        <v>189.27</v>
      </c>
      <c r="K29" s="263" t="n">
        <v>199.11</v>
      </c>
      <c r="L29" s="264" t="n">
        <v>5.2</v>
      </c>
    </row>
    <row r="30" s="253" customFormat="true" ht="12.75" hidden="false" customHeight="false" outlineLevel="0" collapsed="false">
      <c r="A30" s="267" t="n">
        <v>6</v>
      </c>
      <c r="B30" s="268" t="s">
        <v>171</v>
      </c>
      <c r="C30" s="269" t="n">
        <v>9.24</v>
      </c>
      <c r="D30" s="269" t="n">
        <v>100</v>
      </c>
      <c r="E30" s="269" t="n">
        <v>101</v>
      </c>
      <c r="F30" s="269" t="n">
        <v>100.77</v>
      </c>
      <c r="G30" s="269" t="n">
        <v>100.62</v>
      </c>
      <c r="H30" s="269" t="n">
        <v>100.9</v>
      </c>
      <c r="I30" s="269" t="n">
        <v>100.47</v>
      </c>
      <c r="J30" s="269" t="n">
        <v>104.59</v>
      </c>
      <c r="K30" s="269" t="n">
        <v>105.22</v>
      </c>
      <c r="L30" s="270" t="n">
        <v>0.6</v>
      </c>
    </row>
    <row r="31" customFormat="false" ht="12.75" hidden="false" customHeight="false" outlineLevel="0" collapsed="false">
      <c r="A31" s="271"/>
      <c r="B31" s="272" t="s">
        <v>179</v>
      </c>
      <c r="C31" s="273" t="n">
        <v>100</v>
      </c>
      <c r="D31" s="273" t="n">
        <v>100</v>
      </c>
      <c r="E31" s="273" t="n">
        <v>104.15</v>
      </c>
      <c r="F31" s="273" t="n">
        <v>108.63</v>
      </c>
      <c r="G31" s="273" t="n">
        <v>109.5</v>
      </c>
      <c r="H31" s="273" t="n">
        <v>112.61</v>
      </c>
      <c r="I31" s="273" t="n">
        <v>118.12</v>
      </c>
      <c r="J31" s="273" t="n">
        <v>123.24</v>
      </c>
      <c r="K31" s="273" t="n">
        <v>125.36</v>
      </c>
      <c r="L31" s="274" t="n">
        <v>1.72</v>
      </c>
    </row>
    <row r="32" customFormat="false" ht="18.75" hidden="false" customHeight="true" outlineLevel="0" collapsed="false">
      <c r="L32" s="4" t="s">
        <v>78</v>
      </c>
    </row>
    <row r="33" customFormat="false" ht="18.75" hidden="false" customHeight="true" outlineLevel="0" collapsed="false"/>
    <row r="34" customFormat="false" ht="18.75" hidden="false" customHeight="true" outlineLevel="0" collapsed="false"/>
    <row r="35" customFormat="false" ht="18.75" hidden="false" customHeight="true" outlineLevel="0" collapsed="false"/>
    <row r="36" s="248" customFormat="true" ht="18.75" hidden="false" customHeight="true" outlineLevel="0" collapsed="false"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12">
    <mergeCell ref="A2:L2"/>
    <mergeCell ref="A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rintOptions headings="false" gridLines="false" gridLinesSet="true" horizontalCentered="true" verticalCentered="true"/>
  <pageMargins left="1.17986111111111" right="1.12013888888889" top="1.24027777777778" bottom="1.07013888888889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2022-02-23T05:27:53Z</dcterms:created>
  <dc:creator>R00557</dc:creator>
  <dc:description/>
  <dc:language>en-US</dc:language>
  <cp:lastModifiedBy/>
  <dcterms:modified xsi:type="dcterms:W3CDTF">2026-04-04T14:06:23Z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