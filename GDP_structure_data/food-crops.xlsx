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od crops 2012-2024" sheetId="1" state="visible" r:id="rId3"/>
  </sheets>
  <definedNames>
    <definedName function="false" hidden="false" localSheetId="0" name="_xlnm.Print_Area" vbProcedure="false">'Food crops 2012-2024'!$A$1:$L$30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<sst xmlns="http://schemas.openxmlformats.org/spreadsheetml/2006/main" count="48" uniqueCount="32">
  <si>
    <t xml:space="preserve"> Cultivation Area, Production and Productivity of Major Food Crops</t>
  </si>
  <si>
    <t xml:space="preserve">Area: In thousand hectares</t>
  </si>
  <si>
    <t xml:space="preserve"> </t>
  </si>
  <si>
    <t xml:space="preserve">Production: In thousand metric tons</t>
  </si>
  <si>
    <t xml:space="preserve">Food Crops</t>
  </si>
  <si>
    <t xml:space="preserve">2011/12</t>
  </si>
  <si>
    <t xml:space="preserve">2012/13</t>
  </si>
  <si>
    <t xml:space="preserve">2013/14</t>
  </si>
  <si>
    <t xml:space="preserve">2014/15</t>
  </si>
  <si>
    <t xml:space="preserve">2015/16</t>
  </si>
  <si>
    <t xml:space="preserve">2016/17</t>
  </si>
  <si>
    <t xml:space="preserve">2017/18</t>
  </si>
  <si>
    <t xml:space="preserve">2018/19</t>
  </si>
  <si>
    <t xml:space="preserve">2019/20</t>
  </si>
  <si>
    <t xml:space="preserve">2020/21</t>
  </si>
  <si>
    <t xml:space="preserve">2021/22</t>
  </si>
  <si>
    <t xml:space="preserve">2022/23</t>
  </si>
  <si>
    <t xml:space="preserve">2023/24</t>
  </si>
  <si>
    <t xml:space="preserve">paddy</t>
  </si>
  <si>
    <t xml:space="preserve">Area</t>
  </si>
  <si>
    <t xml:space="preserve">Production</t>
  </si>
  <si>
    <t xml:space="preserve">Productivity</t>
  </si>
  <si>
    <t xml:space="preserve">Maize</t>
  </si>
  <si>
    <t xml:space="preserve">Wheat</t>
  </si>
  <si>
    <t xml:space="preserve">Barley</t>
  </si>
  <si>
    <t xml:space="preserve">Millet</t>
  </si>
  <si>
    <t xml:space="preserve">Buck Wheat*</t>
  </si>
  <si>
    <t xml:space="preserve">Total Area</t>
  </si>
  <si>
    <t xml:space="preserve">Total Production</t>
  </si>
  <si>
    <t xml:space="preserve">Source: Ministry of Agriculture and Livestock Development, 2024</t>
  </si>
  <si>
    <t xml:space="preserve">*Buck wheat is included since fiscal year 2010/11</t>
  </si>
  <si>
    <t xml:space="preserve">* Preliminary Estimate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</si>
</sst>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"/>
    <numFmt numFmtId="167" formatCode="[$-4000439]0.00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 val="true"/>
      <sz val="14"/>
      <color theme="1"/>
      <name val="Times New Roman"/>
      <family val="1"/>
    </font>
    <font>
      <b val="true"/>
      <sz val="12"/>
      <color theme="1"/>
      <name val="Times New Roman"/>
      <family val="1"/>
    </font>
    <font>
      <sz val="12"/>
      <color theme="1"/>
      <name val="Times New Roman"/>
      <family val="1"/>
    </font>
    <font>
      <b val="true"/>
      <i val="true"/>
      <sz val="11"/>
      <color theme="1"/>
      <name val="Times New Roman"/>
      <family val="1"/>
    </font>
    <font>
      <sz val="9"/>
      <color theme="1"/>
      <name val="Times New Roman"/>
      <family val="1"/>
    </font>
    <font>
      <b val="true"/>
      <sz val="10"/>
      <color theme="1"/>
      <name val="Times New Roman"/>
      <family val="1"/>
    </font>
    <font>
      <b val="true"/>
      <sz val="11"/>
      <color theme="1"/>
      <name val="Times New Roman"/>
      <family val="1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b val="true"/>
      <sz val="9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3" fillId="2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2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2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2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2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7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60546875" defaultRowHeight="15" customHeight="false" zeroHeight="false" outlineLevelRow="0" outlineLevelCol="0"/>
  <cols>
    <col collapsed="false" customWidth="true" hidden="false" outlineLevel="0" max="1" min="1" style="1" width="7.81"/>
    <col collapsed="false" customWidth="true" hidden="false" outlineLevel="0" max="2" min="2" style="1" width="10.97"/>
    <col collapsed="false" customWidth="true" hidden="false" outlineLevel="0" max="4" min="3" style="1" width="11.24"/>
    <col collapsed="false" customWidth="true" hidden="false" outlineLevel="0" max="7" min="5" style="1" width="11.51"/>
    <col collapsed="false" customWidth="true" hidden="false" outlineLevel="0" max="8" min="8" style="1" width="12.05"/>
    <col collapsed="false" customWidth="true" hidden="false" outlineLevel="0" max="9" min="9" style="2" width="13.03"/>
    <col collapsed="false" customWidth="true" hidden="false" outlineLevel="0" max="10" min="10" style="1" width="13.15"/>
    <col collapsed="false" customWidth="true" hidden="false" outlineLevel="0" max="12" min="11" style="1" width="14.67"/>
    <col collapsed="false" customWidth="true" hidden="false" outlineLevel="0" max="13" min="13" style="1" width="11.8"/>
    <col collapsed="false" customWidth="true" hidden="false" outlineLevel="0" max="15" min="14" style="1" width="11.51"/>
  </cols>
  <sheetData>
    <row r="1" customFormat="false" ht="27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4.25" hidden="false" customHeight="true" outlineLevel="0" collapsed="false">
      <c r="A2" s="4"/>
      <c r="B2" s="5"/>
      <c r="C2" s="5"/>
      <c r="D2" s="5"/>
      <c r="E2" s="5"/>
      <c r="F2" s="5"/>
      <c r="G2" s="5"/>
      <c r="I2" s="6"/>
      <c r="J2" s="7" t="s">
        <v>1</v>
      </c>
      <c r="K2" s="7"/>
      <c r="L2" s="7"/>
    </row>
    <row r="3" customFormat="false" ht="15.75" hidden="false" customHeight="true" outlineLevel="0" collapsed="false">
      <c r="A3" s="4"/>
      <c r="B3" s="5"/>
      <c r="C3" s="5"/>
      <c r="D3" s="5"/>
      <c r="E3" s="5"/>
      <c r="F3" s="5" t="s">
        <v>2</v>
      </c>
      <c r="G3" s="5"/>
      <c r="I3" s="6"/>
      <c r="J3" s="7" t="s">
        <v>3</v>
      </c>
      <c r="K3" s="7"/>
      <c r="L3" s="7"/>
    </row>
    <row r="4" customFormat="false" ht="16.5" hidden="false" customHeight="true" outlineLevel="0" collapsed="false">
      <c r="B4" s="8"/>
      <c r="C4" s="8"/>
      <c r="D4" s="8"/>
      <c r="E4" s="8"/>
      <c r="F4" s="8"/>
      <c r="G4" s="8"/>
      <c r="H4" s="8"/>
      <c r="I4" s="8"/>
      <c r="J4" s="9"/>
      <c r="K4" s="9"/>
      <c r="L4" s="9"/>
    </row>
    <row r="5" customFormat="false" ht="20.25" hidden="false" customHeight="true" outlineLevel="0" collapsed="false">
      <c r="A5" s="10" t="s">
        <v>4</v>
      </c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customFormat="false" ht="13.8" hidden="false" customHeight="false" outlineLevel="0" collapsed="false">
      <c r="A6" s="10"/>
      <c r="B6" s="10"/>
      <c r="C6" s="12" t="s">
        <v>5</v>
      </c>
      <c r="D6" s="12" t="s">
        <v>6</v>
      </c>
      <c r="E6" s="12" t="s">
        <v>7</v>
      </c>
      <c r="F6" s="12" t="s">
        <v>8</v>
      </c>
      <c r="G6" s="12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3" t="s">
        <v>16</v>
      </c>
      <c r="O6" s="13" t="s">
        <v>17</v>
      </c>
    </row>
    <row r="7" customFormat="false" ht="12.8" hidden="false" customHeight="false" outlineLevel="0" collapsed="false">
      <c r="A7" s="14" t="s">
        <v>18</v>
      </c>
      <c r="B7" s="15" t="s">
        <v>19</v>
      </c>
      <c r="C7" s="16" t="n">
        <v>1531</v>
      </c>
      <c r="D7" s="16" t="n">
        <v>1420</v>
      </c>
      <c r="E7" s="16" t="n">
        <v>1486.951</v>
      </c>
      <c r="F7" s="16" t="n">
        <v>1425.346</v>
      </c>
      <c r="G7" s="16" t="n">
        <v>1362.908</v>
      </c>
      <c r="H7" s="16" t="n">
        <v>1552.469</v>
      </c>
      <c r="I7" s="16" t="n">
        <v>1469.54</v>
      </c>
      <c r="J7" s="16" t="n">
        <v>1491.74</v>
      </c>
      <c r="K7" s="16" t="n">
        <v>1458.915</v>
      </c>
      <c r="L7" s="16" t="n">
        <v>1473.47392</v>
      </c>
      <c r="M7" s="16" t="n">
        <v>1477.38</v>
      </c>
      <c r="N7" s="16" t="n">
        <v>1447.7894</v>
      </c>
      <c r="O7" s="16" t="n">
        <v>1438.99</v>
      </c>
    </row>
    <row r="8" customFormat="false" ht="12.8" hidden="false" customHeight="false" outlineLevel="0" collapsed="false">
      <c r="A8" s="14"/>
      <c r="B8" s="15" t="s">
        <v>20</v>
      </c>
      <c r="C8" s="16" t="n">
        <v>5072</v>
      </c>
      <c r="D8" s="16" t="n">
        <v>4504</v>
      </c>
      <c r="E8" s="16" t="n">
        <v>5047.047</v>
      </c>
      <c r="F8" s="16" t="n">
        <v>4788.612</v>
      </c>
      <c r="G8" s="16" t="n">
        <v>4299.078</v>
      </c>
      <c r="H8" s="16" t="n">
        <v>5230.327</v>
      </c>
      <c r="I8" s="16" t="n">
        <v>5151.92</v>
      </c>
      <c r="J8" s="16" t="n">
        <v>5610.01</v>
      </c>
      <c r="K8" s="16" t="n">
        <v>5550.878</v>
      </c>
      <c r="L8" s="16" t="n">
        <v>5621.70970486538</v>
      </c>
      <c r="M8" s="16" t="n">
        <v>5130.62</v>
      </c>
      <c r="N8" s="16" t="n">
        <v>5486.47202669122</v>
      </c>
      <c r="O8" s="16" t="n">
        <v>5724.23</v>
      </c>
    </row>
    <row r="9" customFormat="false" ht="12.8" hidden="false" customHeight="false" outlineLevel="0" collapsed="false">
      <c r="A9" s="14"/>
      <c r="B9" s="15" t="s">
        <v>21</v>
      </c>
      <c r="C9" s="16" t="n">
        <v>3.31</v>
      </c>
      <c r="D9" s="16" t="n">
        <v>3.17</v>
      </c>
      <c r="E9" s="16" t="n">
        <v>3.39</v>
      </c>
      <c r="F9" s="16" t="n">
        <v>3.36</v>
      </c>
      <c r="G9" s="16" t="n">
        <v>3.15</v>
      </c>
      <c r="H9" s="16" t="n">
        <v>3.4</v>
      </c>
      <c r="I9" s="16" t="n">
        <v>3.5</v>
      </c>
      <c r="J9" s="16" t="n">
        <v>3.76</v>
      </c>
      <c r="K9" s="16" t="n">
        <v>3.8</v>
      </c>
      <c r="L9" s="16" t="n">
        <v>3.81527601443083</v>
      </c>
      <c r="M9" s="16" t="n">
        <v>3.47</v>
      </c>
      <c r="N9" s="16" t="n">
        <f aca="false">N8/N7</f>
        <v>3.78955117829376</v>
      </c>
      <c r="O9" s="16" t="n">
        <v>3.98</v>
      </c>
    </row>
    <row r="10" customFormat="false" ht="12.8" hidden="false" customHeight="false" outlineLevel="0" collapsed="false">
      <c r="A10" s="14" t="s">
        <v>22</v>
      </c>
      <c r="B10" s="15" t="s">
        <v>19</v>
      </c>
      <c r="C10" s="16" t="n">
        <v>871</v>
      </c>
      <c r="D10" s="16" t="n">
        <v>849</v>
      </c>
      <c r="E10" s="16" t="n">
        <v>928.76</v>
      </c>
      <c r="F10" s="16" t="n">
        <v>882.395</v>
      </c>
      <c r="G10" s="16" t="n">
        <v>891.583</v>
      </c>
      <c r="H10" s="16" t="n">
        <v>924.321</v>
      </c>
      <c r="I10" s="16" t="n">
        <v>954.18</v>
      </c>
      <c r="J10" s="16" t="n">
        <v>956.447</v>
      </c>
      <c r="K10" s="16" t="n">
        <v>957.650012980242</v>
      </c>
      <c r="L10" s="16" t="n">
        <v>979.775941458529</v>
      </c>
      <c r="M10" s="16" t="n">
        <v>985.57</v>
      </c>
      <c r="N10" s="16" t="n">
        <v>997.865</v>
      </c>
      <c r="O10" s="16" t="n">
        <v>916.04</v>
      </c>
    </row>
    <row r="11" customFormat="false" ht="12.8" hidden="false" customHeight="false" outlineLevel="0" collapsed="false">
      <c r="A11" s="14"/>
      <c r="B11" s="15" t="s">
        <v>20</v>
      </c>
      <c r="C11" s="16" t="n">
        <v>2179</v>
      </c>
      <c r="D11" s="16" t="n">
        <v>1999</v>
      </c>
      <c r="E11" s="16" t="n">
        <v>2283</v>
      </c>
      <c r="F11" s="16" t="n">
        <v>2145.291</v>
      </c>
      <c r="G11" s="16" t="n">
        <v>2231.517</v>
      </c>
      <c r="H11" s="16" t="n">
        <v>2336.675</v>
      </c>
      <c r="I11" s="16" t="n">
        <v>2555.84</v>
      </c>
      <c r="J11" s="16" t="n">
        <v>2713.634756</v>
      </c>
      <c r="K11" s="16" t="n">
        <v>2835.67399051817</v>
      </c>
      <c r="L11" s="16" t="n">
        <v>2999.73341896623</v>
      </c>
      <c r="M11" s="16" t="n">
        <v>3106.4</v>
      </c>
      <c r="N11" s="16" t="n">
        <v>3193.168</v>
      </c>
      <c r="O11" s="16" t="n">
        <v>3193.87</v>
      </c>
    </row>
    <row r="12" customFormat="false" ht="12.8" hidden="false" customHeight="false" outlineLevel="0" collapsed="false">
      <c r="A12" s="14"/>
      <c r="B12" s="15" t="s">
        <v>21</v>
      </c>
      <c r="C12" s="16" t="n">
        <v>2.5</v>
      </c>
      <c r="D12" s="16" t="n">
        <v>2.35</v>
      </c>
      <c r="E12" s="16" t="n">
        <v>2.46</v>
      </c>
      <c r="F12" s="16" t="n">
        <v>2.43</v>
      </c>
      <c r="G12" s="16" t="n">
        <v>2.5</v>
      </c>
      <c r="H12" s="16" t="n">
        <v>2.6</v>
      </c>
      <c r="I12" s="16" t="n">
        <v>2.7</v>
      </c>
      <c r="J12" s="16" t="n">
        <v>2.83720347912639</v>
      </c>
      <c r="K12" s="16" t="n">
        <v>2.96107549948592</v>
      </c>
      <c r="L12" s="16" t="n">
        <v>3.06165245750036</v>
      </c>
      <c r="M12" s="16" t="n">
        <v>3.15</v>
      </c>
      <c r="N12" s="16" t="n">
        <f aca="false">N11/N10</f>
        <v>3.2</v>
      </c>
      <c r="O12" s="16" t="n">
        <v>3.49</v>
      </c>
    </row>
    <row r="13" customFormat="false" ht="12.8" hidden="false" customHeight="false" outlineLevel="0" collapsed="false">
      <c r="A13" s="14" t="s">
        <v>23</v>
      </c>
      <c r="B13" s="15" t="s">
        <v>19</v>
      </c>
      <c r="C13" s="16" t="n">
        <v>765</v>
      </c>
      <c r="D13" s="16" t="n">
        <v>759</v>
      </c>
      <c r="E13" s="16" t="n">
        <v>754</v>
      </c>
      <c r="F13" s="16" t="n">
        <v>762.373</v>
      </c>
      <c r="G13" s="16" t="n">
        <v>745.823</v>
      </c>
      <c r="H13" s="16" t="n">
        <v>740.15</v>
      </c>
      <c r="I13" s="16" t="n">
        <v>706.84</v>
      </c>
      <c r="J13" s="16" t="n">
        <v>703.991689766434</v>
      </c>
      <c r="K13" s="16" t="n">
        <v>707.505316025701</v>
      </c>
      <c r="L13" s="16" t="n">
        <v>711.067</v>
      </c>
      <c r="M13" s="16" t="n">
        <v>716.98</v>
      </c>
      <c r="N13" s="16" t="n">
        <v>711.377</v>
      </c>
      <c r="O13" s="16" t="n">
        <v>681.85</v>
      </c>
    </row>
    <row r="14" customFormat="false" ht="12.8" hidden="false" customHeight="false" outlineLevel="0" collapsed="false">
      <c r="A14" s="14"/>
      <c r="B14" s="15" t="s">
        <v>20</v>
      </c>
      <c r="C14" s="16" t="n">
        <v>1846</v>
      </c>
      <c r="D14" s="16" t="n">
        <v>1882</v>
      </c>
      <c r="E14" s="16" t="n">
        <v>1883</v>
      </c>
      <c r="F14" s="16" t="n">
        <v>1975.625</v>
      </c>
      <c r="G14" s="16" t="n">
        <v>1736.849</v>
      </c>
      <c r="H14" s="16" t="n">
        <v>1856.191</v>
      </c>
      <c r="I14" s="16" t="n">
        <v>1949</v>
      </c>
      <c r="J14" s="16" t="n">
        <v>2005.6654022989</v>
      </c>
      <c r="K14" s="16" t="n">
        <v>2185.28859655178</v>
      </c>
      <c r="L14" s="16" t="n">
        <v>2127.276</v>
      </c>
      <c r="M14" s="16" t="n">
        <v>2144.57</v>
      </c>
      <c r="N14" s="16" t="n">
        <v>2098.56215</v>
      </c>
      <c r="O14" s="16" t="n">
        <v>2035.56</v>
      </c>
    </row>
    <row r="15" customFormat="false" ht="12.8" hidden="false" customHeight="false" outlineLevel="0" collapsed="false">
      <c r="A15" s="14"/>
      <c r="B15" s="15" t="s">
        <v>21</v>
      </c>
      <c r="C15" s="16" t="n">
        <v>2.41</v>
      </c>
      <c r="D15" s="16" t="n">
        <v>2.47</v>
      </c>
      <c r="E15" s="16" t="n">
        <v>2.5</v>
      </c>
      <c r="F15" s="16" t="n">
        <v>2.59</v>
      </c>
      <c r="G15" s="16" t="n">
        <v>2.33</v>
      </c>
      <c r="H15" s="16" t="n">
        <v>2.5</v>
      </c>
      <c r="I15" s="16" t="n">
        <v>2.8</v>
      </c>
      <c r="J15" s="16" t="n">
        <v>2.84899016771679</v>
      </c>
      <c r="K15" s="16" t="n">
        <v>2.92370229393408</v>
      </c>
      <c r="L15" s="16" t="n">
        <v>2.99166745187162</v>
      </c>
      <c r="M15" s="16" t="n">
        <v>2.99</v>
      </c>
      <c r="N15" s="16" t="n">
        <f aca="false">N14/N13</f>
        <v>2.95</v>
      </c>
      <c r="O15" s="16" t="n">
        <v>2.99</v>
      </c>
    </row>
    <row r="16" customFormat="false" ht="12.8" hidden="false" customHeight="false" outlineLevel="0" collapsed="false">
      <c r="A16" s="14" t="s">
        <v>24</v>
      </c>
      <c r="B16" s="15" t="s">
        <v>19</v>
      </c>
      <c r="C16" s="16" t="n">
        <v>27.3</v>
      </c>
      <c r="D16" s="16" t="n">
        <v>28.98</v>
      </c>
      <c r="E16" s="16" t="n">
        <v>28</v>
      </c>
      <c r="F16" s="16" t="n">
        <v>28.053</v>
      </c>
      <c r="G16" s="16" t="n">
        <v>28.368</v>
      </c>
      <c r="H16" s="16" t="n">
        <v>27.386</v>
      </c>
      <c r="I16" s="16" t="n">
        <v>24.648</v>
      </c>
      <c r="J16" s="16" t="n">
        <v>24.4085133646602</v>
      </c>
      <c r="K16" s="16" t="n">
        <v>24.4037623584425</v>
      </c>
      <c r="L16" s="16" t="n">
        <v>21.8617182483326</v>
      </c>
      <c r="M16" s="16" t="n">
        <v>23.13</v>
      </c>
      <c r="N16" s="16" t="n">
        <v>22.344</v>
      </c>
      <c r="O16" s="16" t="n">
        <v>18.6</v>
      </c>
    </row>
    <row r="17" customFormat="false" ht="12.8" hidden="false" customHeight="false" outlineLevel="0" collapsed="false">
      <c r="A17" s="14"/>
      <c r="B17" s="15" t="s">
        <v>20</v>
      </c>
      <c r="C17" s="16" t="n">
        <v>35</v>
      </c>
      <c r="D17" s="16" t="n">
        <v>37</v>
      </c>
      <c r="E17" s="16" t="n">
        <v>35</v>
      </c>
      <c r="F17" s="16" t="n">
        <v>37.354</v>
      </c>
      <c r="G17" s="16" t="n">
        <v>32.806</v>
      </c>
      <c r="H17" s="16" t="n">
        <v>30.51</v>
      </c>
      <c r="I17" s="16" t="n">
        <v>27.154</v>
      </c>
      <c r="J17" s="16" t="n">
        <v>30.5496028328599</v>
      </c>
      <c r="K17" s="16" t="n">
        <v>31.1466725105414</v>
      </c>
      <c r="L17" s="16" t="n">
        <v>29.4333213396886</v>
      </c>
      <c r="M17" s="16" t="n">
        <v>32.16</v>
      </c>
      <c r="N17" s="16" t="n">
        <v>31.2816</v>
      </c>
      <c r="O17" s="16" t="n">
        <v>24.93</v>
      </c>
    </row>
    <row r="18" customFormat="false" ht="12.8" hidden="false" customHeight="false" outlineLevel="0" collapsed="false">
      <c r="A18" s="14"/>
      <c r="B18" s="15" t="s">
        <v>21</v>
      </c>
      <c r="C18" s="16" t="n">
        <v>1.25</v>
      </c>
      <c r="D18" s="16" t="n">
        <v>1.27</v>
      </c>
      <c r="E18" s="16" t="n">
        <v>1.24</v>
      </c>
      <c r="F18" s="16" t="n">
        <v>1.33</v>
      </c>
      <c r="G18" s="16" t="n">
        <v>1.16</v>
      </c>
      <c r="H18" s="16" t="n">
        <v>1.1</v>
      </c>
      <c r="I18" s="16" t="n">
        <v>1.1</v>
      </c>
      <c r="J18" s="16" t="n">
        <v>1.25159621057016</v>
      </c>
      <c r="K18" s="16" t="n">
        <v>1.27630617169021</v>
      </c>
      <c r="L18" s="16" t="n">
        <v>1.35</v>
      </c>
      <c r="M18" s="16" t="n">
        <v>1.39</v>
      </c>
      <c r="N18" s="16" t="n">
        <f aca="false">N17/N16</f>
        <v>1.4</v>
      </c>
      <c r="O18" s="16" t="n">
        <v>1.34</v>
      </c>
    </row>
    <row r="19" customFormat="false" ht="12.8" hidden="false" customHeight="false" outlineLevel="0" collapsed="false">
      <c r="A19" s="14" t="s">
        <v>25</v>
      </c>
      <c r="B19" s="15" t="s">
        <v>19</v>
      </c>
      <c r="C19" s="16" t="n">
        <v>278</v>
      </c>
      <c r="D19" s="16" t="n">
        <v>274</v>
      </c>
      <c r="E19" s="16" t="n">
        <v>271</v>
      </c>
      <c r="F19" s="16" t="n">
        <v>268.05</v>
      </c>
      <c r="G19" s="16" t="n">
        <v>266.799</v>
      </c>
      <c r="H19" s="16" t="n">
        <v>263.596</v>
      </c>
      <c r="I19" s="16" t="n">
        <v>263.497</v>
      </c>
      <c r="J19" s="16" t="n">
        <v>263.260904840934</v>
      </c>
      <c r="K19" s="16" t="n">
        <v>262.546700478998</v>
      </c>
      <c r="L19" s="16" t="n">
        <v>265.401</v>
      </c>
      <c r="M19" s="16" t="n">
        <v>267.07</v>
      </c>
      <c r="N19" s="16" t="n">
        <v>275.945</v>
      </c>
      <c r="O19" s="16" t="n">
        <v>224.94</v>
      </c>
    </row>
    <row r="20" customFormat="false" ht="12.8" hidden="false" customHeight="false" outlineLevel="0" collapsed="false">
      <c r="A20" s="14"/>
      <c r="B20" s="15" t="s">
        <v>20</v>
      </c>
      <c r="C20" s="16" t="n">
        <v>315</v>
      </c>
      <c r="D20" s="16" t="n">
        <v>305</v>
      </c>
      <c r="E20" s="16" t="n">
        <v>304</v>
      </c>
      <c r="F20" s="16" t="n">
        <v>308.488</v>
      </c>
      <c r="G20" s="16" t="n">
        <v>302.397</v>
      </c>
      <c r="H20" s="16" t="n">
        <v>306.704</v>
      </c>
      <c r="I20" s="16" t="n">
        <v>313.987</v>
      </c>
      <c r="J20" s="16" t="n">
        <v>314.225057911523</v>
      </c>
      <c r="K20" s="16" t="n">
        <v>320.952515510604</v>
      </c>
      <c r="L20" s="16" t="n">
        <v>326.44323</v>
      </c>
      <c r="M20" s="16" t="n">
        <v>339.46</v>
      </c>
      <c r="N20" s="16" t="n">
        <v>355.754131490693</v>
      </c>
      <c r="O20" s="16" t="n">
        <v>300.73</v>
      </c>
    </row>
    <row r="21" customFormat="false" ht="12.8" hidden="false" customHeight="false" outlineLevel="0" collapsed="false">
      <c r="A21" s="14"/>
      <c r="B21" s="15" t="s">
        <v>21</v>
      </c>
      <c r="C21" s="16" t="n">
        <v>1.13</v>
      </c>
      <c r="D21" s="16" t="n">
        <v>1.11</v>
      </c>
      <c r="E21" s="16" t="n">
        <v>1.12</v>
      </c>
      <c r="F21" s="16" t="n">
        <v>1.15</v>
      </c>
      <c r="G21" s="16" t="n">
        <v>1.13</v>
      </c>
      <c r="H21" s="16" t="n">
        <v>1.2</v>
      </c>
      <c r="I21" s="16" t="n">
        <v>1.2</v>
      </c>
      <c r="J21" s="16" t="n">
        <v>1.1935880038906</v>
      </c>
      <c r="K21" s="16" t="n">
        <v>1.2224587660978</v>
      </c>
      <c r="L21" s="16" t="n">
        <v>1.23</v>
      </c>
      <c r="M21" s="16" t="n">
        <v>1.27</v>
      </c>
      <c r="N21" s="16" t="n">
        <f aca="false">N20/N19</f>
        <v>1.28922115454418</v>
      </c>
      <c r="O21" s="16" t="n">
        <v>1.34</v>
      </c>
    </row>
    <row r="22" customFormat="false" ht="20.25" hidden="false" customHeight="true" outlineLevel="0" collapsed="false">
      <c r="A22" s="17" t="s">
        <v>26</v>
      </c>
      <c r="B22" s="15" t="s">
        <v>19</v>
      </c>
      <c r="C22" s="16" t="n">
        <v>10.3</v>
      </c>
      <c r="D22" s="16" t="n">
        <v>10.68</v>
      </c>
      <c r="E22" s="16" t="n">
        <v>10.5</v>
      </c>
      <c r="F22" s="16" t="n">
        <v>10.819</v>
      </c>
      <c r="G22" s="16" t="n">
        <v>10.842</v>
      </c>
      <c r="H22" s="16" t="n">
        <v>11.07</v>
      </c>
      <c r="I22" s="16" t="n">
        <v>10.296</v>
      </c>
      <c r="J22" s="16" t="n">
        <v>10.3113386736506</v>
      </c>
      <c r="K22" s="16" t="n">
        <v>10.368553832337</v>
      </c>
      <c r="L22" s="16" t="n">
        <v>13.874731884567</v>
      </c>
      <c r="M22" s="16" t="n">
        <v>16.12</v>
      </c>
      <c r="N22" s="16" t="n">
        <v>17.677</v>
      </c>
      <c r="O22" s="16" t="n">
        <v>11.25</v>
      </c>
    </row>
    <row r="23" customFormat="false" ht="12.8" hidden="false" customHeight="false" outlineLevel="0" collapsed="false">
      <c r="A23" s="17"/>
      <c r="B23" s="15" t="s">
        <v>20</v>
      </c>
      <c r="C23" s="16" t="n">
        <v>10</v>
      </c>
      <c r="D23" s="16" t="n">
        <v>10.05</v>
      </c>
      <c r="E23" s="16" t="n">
        <v>10.3</v>
      </c>
      <c r="F23" s="16" t="n">
        <v>10.87</v>
      </c>
      <c r="G23" s="16" t="n">
        <v>11.64</v>
      </c>
      <c r="H23" s="16" t="n">
        <v>12.017</v>
      </c>
      <c r="I23" s="16" t="n">
        <v>11.472</v>
      </c>
      <c r="J23" s="16" t="n">
        <v>11.4641591733842</v>
      </c>
      <c r="K23" s="16" t="n">
        <v>11.7235912027729</v>
      </c>
      <c r="L23" s="16" t="n">
        <v>15.9171398351055</v>
      </c>
      <c r="M23" s="16" t="n">
        <v>19.29</v>
      </c>
      <c r="N23" s="16" t="n">
        <v>21.5723062956877</v>
      </c>
      <c r="O23" s="16" t="n">
        <v>14.52</v>
      </c>
    </row>
    <row r="24" customFormat="false" ht="12.8" hidden="false" customHeight="false" outlineLevel="0" collapsed="false">
      <c r="A24" s="17"/>
      <c r="B24" s="15" t="s">
        <v>21</v>
      </c>
      <c r="C24" s="16" t="n">
        <v>0.97</v>
      </c>
      <c r="D24" s="16" t="n">
        <v>0.94</v>
      </c>
      <c r="E24" s="16" t="n">
        <v>0.98</v>
      </c>
      <c r="F24" s="16" t="n">
        <v>1</v>
      </c>
      <c r="G24" s="16" t="n">
        <v>1.07</v>
      </c>
      <c r="H24" s="16" t="n">
        <v>1.1</v>
      </c>
      <c r="I24" s="16" t="n">
        <v>1.1</v>
      </c>
      <c r="J24" s="16" t="n">
        <v>1.1118012448451</v>
      </c>
      <c r="K24" s="16" t="n">
        <v>1.13068720984115</v>
      </c>
      <c r="L24" s="16" t="n">
        <v>1.15</v>
      </c>
      <c r="M24" s="16" t="n">
        <v>1.2</v>
      </c>
      <c r="N24" s="16" t="n">
        <f aca="false">N23/N22</f>
        <v>1.22036014570842</v>
      </c>
      <c r="O24" s="16" t="n">
        <v>1.29</v>
      </c>
    </row>
    <row r="25" customFormat="false" ht="12.8" hidden="false" customHeight="false" outlineLevel="0" collapsed="false">
      <c r="A25" s="18" t="s">
        <v>27</v>
      </c>
      <c r="B25" s="18"/>
      <c r="C25" s="19" t="n">
        <f aca="false">SUM(C7,C10,C13,C16,C19,C22)</f>
        <v>3482.6</v>
      </c>
      <c r="D25" s="19" t="n">
        <f aca="false">SUM(D7,D10,D13,D16,D19,D22)</f>
        <v>3341.66</v>
      </c>
      <c r="E25" s="19" t="n">
        <f aca="false">SUM(E7,E10,E13,E16,E19,E22)</f>
        <v>3479.211</v>
      </c>
      <c r="F25" s="19" t="n">
        <f aca="false">SUM(F7,F10,F13,F16,F19,F22)</f>
        <v>3377.036</v>
      </c>
      <c r="G25" s="19" t="n">
        <f aca="false">G7+G10+G13+G16+G19+G22</f>
        <v>3306.323</v>
      </c>
      <c r="H25" s="19" t="n">
        <f aca="false">H7+H10+H13+H16+H19+H22</f>
        <v>3518.992</v>
      </c>
      <c r="I25" s="19" t="n">
        <f aca="false">I7+I10+I13+I16+I19+I22</f>
        <v>3429.001</v>
      </c>
      <c r="J25" s="19" t="n">
        <f aca="false">J7+J10+J13+J16+J19+J22</f>
        <v>3450.15944664568</v>
      </c>
      <c r="K25" s="19" t="n">
        <f aca="false">K7+K10+K13+K16+K19+K22</f>
        <v>3421.38934567572</v>
      </c>
      <c r="L25" s="19" t="n">
        <f aca="false">L7+L10+L13+L16+L19+L22</f>
        <v>3465.45431159143</v>
      </c>
      <c r="M25" s="19" t="n">
        <f aca="false">M7+M10+M13+M16+M19+M22</f>
        <v>3486.25</v>
      </c>
      <c r="N25" s="19" t="n">
        <f aca="false">N7+N10+N13+N16+N19+N22</f>
        <v>3472.9974</v>
      </c>
      <c r="O25" s="19" t="n">
        <f aca="false">O7+O10+O13+O16+O19+O22</f>
        <v>3291.67</v>
      </c>
    </row>
    <row r="26" customFormat="false" ht="12.8" hidden="false" customHeight="false" outlineLevel="0" collapsed="false">
      <c r="A26" s="18" t="s">
        <v>28</v>
      </c>
      <c r="B26" s="18"/>
      <c r="C26" s="19" t="n">
        <f aca="false">SUM(C8,C11,C14,C17,C20,C23)</f>
        <v>9457</v>
      </c>
      <c r="D26" s="19" t="n">
        <f aca="false">SUM(D8,D11,D14,D17,D20,D23)</f>
        <v>8737.05</v>
      </c>
      <c r="E26" s="19" t="n">
        <f aca="false">SUM(E8,E11,E14,E17,E20,E23)</f>
        <v>9562.347</v>
      </c>
      <c r="F26" s="19" t="n">
        <f aca="false">SUM(F8,F11,F14,F17,F20,F23)</f>
        <v>9266.24</v>
      </c>
      <c r="G26" s="19" t="n">
        <f aca="false">SUM(G8,G11,G14,G17,G20,G23)</f>
        <v>8614.287</v>
      </c>
      <c r="H26" s="19" t="n">
        <f aca="false">SUM(H8,H11,H14,H17,H20,H23)</f>
        <v>9772.424</v>
      </c>
      <c r="I26" s="19" t="n">
        <f aca="false">SUM(I8,I11,I14,I17,I20,I23)</f>
        <v>10009.373</v>
      </c>
      <c r="J26" s="19" t="n">
        <f aca="false">SUM(J8,J11,J14,J17,J20,J23)</f>
        <v>10685.5489782167</v>
      </c>
      <c r="K26" s="19" t="n">
        <f aca="false">SUM(K8,K11,K14,K17,K20,K23)</f>
        <v>10935.6633662939</v>
      </c>
      <c r="L26" s="19" t="n">
        <v>11120.5128150064</v>
      </c>
      <c r="M26" s="19" t="n">
        <v>10772.5</v>
      </c>
      <c r="N26" s="19" t="n">
        <f aca="false">SUM(N8,N11,N14,N17,N20,N23)</f>
        <v>11186.8102144776</v>
      </c>
      <c r="O26" s="19" t="n">
        <f aca="false">SUM(O8,O11,O14,O17,O20,O23)</f>
        <v>11293.84</v>
      </c>
    </row>
    <row r="27" customFormat="false" ht="12.8" hidden="false" customHeight="false" outlineLevel="0" collapsed="false">
      <c r="A27" s="18" t="s">
        <v>21</v>
      </c>
      <c r="B27" s="18"/>
      <c r="C27" s="19" t="n">
        <f aca="false">C26/C25</f>
        <v>2.71549991385746</v>
      </c>
      <c r="D27" s="19" t="n">
        <f aca="false">D26/D25</f>
        <v>2.61458376974318</v>
      </c>
      <c r="E27" s="19" t="n">
        <f aca="false">E26/E25</f>
        <v>2.74842399613016</v>
      </c>
      <c r="F27" s="19" t="n">
        <f aca="false">F26/F25</f>
        <v>2.7438973111332</v>
      </c>
      <c r="G27" s="19" t="n">
        <f aca="false">G26/G25</f>
        <v>2.60539789972123</v>
      </c>
      <c r="H27" s="19" t="n">
        <f aca="false">H26/H25</f>
        <v>2.7770520649095</v>
      </c>
      <c r="I27" s="19" t="n">
        <f aca="false">I26/I25</f>
        <v>2.91903472760725</v>
      </c>
      <c r="J27" s="19" t="n">
        <f aca="false">J26/J25</f>
        <v>3.09711743571892</v>
      </c>
      <c r="K27" s="19" t="n">
        <f aca="false">K26/K25</f>
        <v>3.19626393298834</v>
      </c>
      <c r="L27" s="19" t="n">
        <f aca="false">L26/L25</f>
        <v>3.20896246642466</v>
      </c>
      <c r="M27" s="19" t="n">
        <f aca="false">M26/M25</f>
        <v>3.08999641448548</v>
      </c>
      <c r="N27" s="19" t="n">
        <f aca="false">N26/N25</f>
        <v>3.22108223129611</v>
      </c>
      <c r="O27" s="19" t="n">
        <f aca="false">O26/O25</f>
        <v>3.43103652553263</v>
      </c>
    </row>
    <row r="28" customFormat="false" ht="13.8" hidden="false" customHeight="false" outlineLevel="0" collapsed="false">
      <c r="A28" s="20" t="s">
        <v>29</v>
      </c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customFormat="false" ht="19.5" hidden="true" customHeight="true" outlineLevel="0" collapsed="false">
      <c r="A29" s="22" t="s">
        <v>30</v>
      </c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customFormat="false" ht="13.8" hidden="false" customHeight="false" outlineLevel="0" collapsed="false">
      <c r="A30" s="23" t="s">
        <v>31</v>
      </c>
      <c r="B30" s="23"/>
      <c r="C30" s="24"/>
      <c r="D30" s="24"/>
      <c r="E30" s="24"/>
      <c r="F30" s="24"/>
      <c r="G30" s="24"/>
      <c r="H30" s="24"/>
      <c r="I30" s="25"/>
    </row>
    <row r="31" customFormat="false" ht="13.8" hidden="false" customHeight="false" outlineLevel="0" collapsed="false"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 customFormat="false" ht="13.8" hidden="false" customHeight="false" outlineLevel="0" collapsed="false">
      <c r="C32" s="26"/>
      <c r="D32" s="26"/>
      <c r="E32" s="26"/>
      <c r="F32" s="26"/>
      <c r="G32" s="26"/>
      <c r="H32" s="26"/>
      <c r="I32" s="26"/>
      <c r="J32" s="26"/>
      <c r="K32" s="26"/>
      <c r="L32" s="26"/>
    </row>
  </sheetData>
  <mergeCells count="16">
    <mergeCell ref="A1:L1"/>
    <mergeCell ref="J2:L2"/>
    <mergeCell ref="J3:L3"/>
    <mergeCell ref="J4:L4"/>
    <mergeCell ref="A5:B6"/>
    <mergeCell ref="C5:M5"/>
    <mergeCell ref="A7:A9"/>
    <mergeCell ref="A10:A12"/>
    <mergeCell ref="A13:A15"/>
    <mergeCell ref="A16:A18"/>
    <mergeCell ref="A19:A21"/>
    <mergeCell ref="A22:A24"/>
    <mergeCell ref="A25:B25"/>
    <mergeCell ref="A26:B26"/>
    <mergeCell ref="A27:B27"/>
    <mergeCell ref="A29:B2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&amp;C&amp;"Dev - Exl,Regular"&amp;12&amp;A</oddHeader>
    <oddFooter>&amp;C&amp;"Dev - Exl,Regular"&amp;12Page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2026-04-04T14:03:32Z</dcterms:created>
  <dc:creator/>
  <dc:description/>
  <dc:language>en-US</dc:language>
  <cp:lastModifiedBy/>
  <dcterms:modified xsi:type="dcterms:W3CDTF">2026-04-04T14:03:47Z</dcterms:modified>
  <cp:revision>1</cp:revision>
  <dc:subject/>
  <dc:title/>
</cp:coreProperties>
</file>